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m3leoN\Desktop\"/>
    </mc:Choice>
  </mc:AlternateContent>
  <xr:revisionPtr revIDLastSave="0" documentId="13_ncr:1_{96785EAC-C21D-4D75-9437-DAE5134E6818}" xr6:coauthVersionLast="47" xr6:coauthVersionMax="47" xr10:uidLastSave="{00000000-0000-0000-0000-000000000000}"/>
  <bookViews>
    <workbookView xWindow="-108" yWindow="-108" windowWidth="61656" windowHeight="16776" xr2:uid="{00000000-000D-0000-FFFF-FFFF00000000}"/>
  </bookViews>
  <sheets>
    <sheet name="Sheet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G125" i="1" a="1"/>
  <c r="G125" i="1" s="1"/>
  <c r="G126" i="1" a="1"/>
  <c r="G126" i="1" s="1"/>
  <c r="G127" i="1" a="1"/>
  <c r="G127" i="1"/>
  <c r="G128" i="1" a="1"/>
  <c r="G128" i="1"/>
  <c r="G129" i="1" a="1"/>
  <c r="G129" i="1"/>
  <c r="G130" i="1" a="1"/>
  <c r="G130" i="1"/>
  <c r="G131" i="1" a="1"/>
  <c r="G131" i="1" s="1"/>
  <c r="G132" i="1" a="1"/>
  <c r="G132" i="1" s="1"/>
  <c r="G133" i="1" a="1"/>
  <c r="G133" i="1" s="1"/>
  <c r="G134" i="1" a="1"/>
  <c r="G134" i="1"/>
  <c r="G135" i="1" a="1"/>
  <c r="G135" i="1"/>
  <c r="G136" i="1" a="1"/>
  <c r="G136" i="1"/>
  <c r="G137" i="1" a="1"/>
  <c r="G137" i="1" s="1"/>
  <c r="G138" i="1" a="1"/>
  <c r="G138" i="1" s="1"/>
  <c r="G139" i="1" a="1"/>
  <c r="G139" i="1"/>
  <c r="G140" i="1" a="1"/>
  <c r="G140" i="1" s="1"/>
  <c r="G141" i="1" a="1"/>
  <c r="G141" i="1" s="1"/>
  <c r="G142" i="1" a="1"/>
  <c r="G142" i="1"/>
  <c r="G143" i="1" a="1"/>
  <c r="G143" i="1" s="1"/>
  <c r="G144" i="1" a="1"/>
  <c r="G144" i="1" s="1"/>
  <c r="G145" i="1" a="1"/>
  <c r="G145" i="1"/>
  <c r="G146" i="1" a="1"/>
  <c r="G146" i="1"/>
  <c r="G147" i="1" a="1"/>
  <c r="G147" i="1" s="1"/>
  <c r="G148" i="1" a="1"/>
  <c r="G148" i="1" s="1"/>
  <c r="G149" i="1" a="1"/>
  <c r="G149" i="1" s="1"/>
  <c r="G150" i="1" a="1"/>
  <c r="G150" i="1" s="1"/>
  <c r="H125" i="1" a="1"/>
  <c r="H125" i="1"/>
  <c r="H126" i="1" a="1"/>
  <c r="H126" i="1"/>
  <c r="H127" i="1" a="1"/>
  <c r="H127" i="1"/>
  <c r="H128" i="1" a="1"/>
  <c r="H128" i="1" s="1"/>
  <c r="H129" i="1" a="1"/>
  <c r="H129" i="1" s="1"/>
  <c r="H130" i="1" a="1"/>
  <c r="H130" i="1" s="1"/>
  <c r="H131" i="1" a="1"/>
  <c r="H131" i="1"/>
  <c r="H132" i="1" a="1"/>
  <c r="H132" i="1"/>
  <c r="H133" i="1" a="1"/>
  <c r="H133" i="1"/>
  <c r="H134" i="1" a="1"/>
  <c r="H134" i="1"/>
  <c r="H135" i="1" a="1"/>
  <c r="H135" i="1" s="1"/>
  <c r="H136" i="1" a="1"/>
  <c r="H136" i="1" s="1"/>
  <c r="H137" i="1" a="1"/>
  <c r="H137" i="1"/>
  <c r="H138" i="1" a="1"/>
  <c r="H138" i="1"/>
  <c r="H139" i="1" a="1"/>
  <c r="H139" i="1"/>
  <c r="H140" i="1" a="1"/>
  <c r="H140" i="1"/>
  <c r="H141" i="1" a="1"/>
  <c r="H141" i="1" s="1"/>
  <c r="H142" i="1" a="1"/>
  <c r="H142" i="1" s="1"/>
  <c r="H143" i="1" a="1"/>
  <c r="H143" i="1" s="1"/>
  <c r="H144" i="1" a="1"/>
  <c r="H144" i="1"/>
  <c r="H145" i="1" a="1"/>
  <c r="H145" i="1"/>
  <c r="H146" i="1" a="1"/>
  <c r="H146" i="1"/>
  <c r="H147" i="1" a="1"/>
  <c r="H147" i="1" s="1"/>
  <c r="H148" i="1" a="1"/>
  <c r="H148" i="1" s="1"/>
  <c r="H149" i="1" a="1"/>
  <c r="H149" i="1"/>
  <c r="H150" i="1" a="1"/>
  <c r="H150" i="1" s="1"/>
  <c r="I125" i="1" a="1"/>
  <c r="I125" i="1"/>
  <c r="I126" i="1" a="1"/>
  <c r="I126" i="1"/>
  <c r="I127" i="1" a="1"/>
  <c r="I127" i="1" s="1"/>
  <c r="I128" i="1" a="1"/>
  <c r="I128" i="1" s="1"/>
  <c r="I129" i="1" a="1"/>
  <c r="I129" i="1"/>
  <c r="I130" i="1" a="1"/>
  <c r="I130" i="1"/>
  <c r="I131" i="1" a="1"/>
  <c r="I131" i="1" s="1"/>
  <c r="I132" i="1" a="1"/>
  <c r="I132" i="1" s="1"/>
  <c r="I133" i="1" a="1"/>
  <c r="I133" i="1" s="1"/>
  <c r="I134" i="1" a="1"/>
  <c r="I134" i="1" s="1"/>
  <c r="I135" i="1" a="1"/>
  <c r="I135" i="1"/>
  <c r="I136" i="1" a="1"/>
  <c r="I136" i="1"/>
  <c r="I137" i="1" a="1"/>
  <c r="I137" i="1"/>
  <c r="I138" i="1" a="1"/>
  <c r="I138" i="1" s="1"/>
  <c r="I139" i="1" a="1"/>
  <c r="I139" i="1" s="1"/>
  <c r="I140" i="1" a="1"/>
  <c r="I140" i="1" s="1"/>
  <c r="I141" i="1" a="1"/>
  <c r="I141" i="1"/>
  <c r="I142" i="1" a="1"/>
  <c r="I142" i="1"/>
  <c r="I143" i="1" a="1"/>
  <c r="I143" i="1"/>
  <c r="I144" i="1" a="1"/>
  <c r="I144" i="1"/>
  <c r="I145" i="1" a="1"/>
  <c r="I145" i="1" s="1"/>
  <c r="I146" i="1" a="1"/>
  <c r="I146" i="1" s="1"/>
  <c r="I147" i="1" a="1"/>
  <c r="I147" i="1" s="1"/>
  <c r="I148" i="1" a="1"/>
  <c r="I148" i="1"/>
  <c r="I149" i="1" a="1"/>
  <c r="I149" i="1"/>
  <c r="I150" i="1" a="1"/>
  <c r="I150" i="1"/>
  <c r="J125" i="1" a="1"/>
  <c r="J125" i="1" s="1"/>
  <c r="J126" i="1" a="1"/>
  <c r="J126" i="1" s="1"/>
  <c r="J127" i="1" a="1"/>
  <c r="J127" i="1" s="1"/>
  <c r="J128" i="1" a="1"/>
  <c r="J128" i="1" s="1"/>
  <c r="J129" i="1" a="1"/>
  <c r="J129" i="1"/>
  <c r="J130" i="1" a="1"/>
  <c r="J130" i="1"/>
  <c r="J131" i="1" a="1"/>
  <c r="J131" i="1" s="1"/>
  <c r="J132" i="1" a="1"/>
  <c r="J132" i="1" s="1"/>
  <c r="J133" i="1" a="1"/>
  <c r="J133" i="1"/>
  <c r="J134" i="1" a="1"/>
  <c r="J134" i="1" s="1"/>
  <c r="J135" i="1" a="1"/>
  <c r="J135" i="1" s="1"/>
  <c r="J136" i="1" a="1"/>
  <c r="J136" i="1"/>
  <c r="J137" i="1" a="1"/>
  <c r="J137" i="1" s="1"/>
  <c r="J138" i="1" a="1"/>
  <c r="J138" i="1" s="1"/>
  <c r="J139" i="1" a="1"/>
  <c r="J139" i="1"/>
  <c r="J140" i="1" a="1"/>
  <c r="J140" i="1"/>
  <c r="J141" i="1" a="1"/>
  <c r="J141" i="1" s="1"/>
  <c r="J142" i="1" a="1"/>
  <c r="J142" i="1" s="1"/>
  <c r="J143" i="1" a="1"/>
  <c r="J143" i="1" s="1"/>
  <c r="J144" i="1" a="1"/>
  <c r="J144" i="1" s="1"/>
  <c r="J145" i="1" a="1"/>
  <c r="J145" i="1"/>
  <c r="J146" i="1" a="1"/>
  <c r="J146" i="1"/>
  <c r="J147" i="1" a="1"/>
  <c r="J147" i="1"/>
  <c r="J148" i="1" a="1"/>
  <c r="J148" i="1" s="1"/>
  <c r="J149" i="1" a="1"/>
  <c r="J149" i="1" s="1"/>
  <c r="J150" i="1" a="1"/>
  <c r="J150" i="1" s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75" i="1"/>
  <c r="O175" i="1"/>
  <c r="N175" i="1"/>
  <c r="M175" i="1"/>
  <c r="L175" i="1"/>
  <c r="K175" i="1"/>
  <c r="J175" i="1" a="1"/>
  <c r="J175" i="1" s="1"/>
  <c r="I175" i="1" a="1"/>
  <c r="I175" i="1" s="1"/>
  <c r="H175" i="1" a="1"/>
  <c r="H175" i="1" s="1"/>
  <c r="G175" i="1" a="1"/>
  <c r="G175" i="1" s="1"/>
  <c r="P174" i="1"/>
  <c r="O174" i="1"/>
  <c r="N174" i="1"/>
  <c r="M174" i="1"/>
  <c r="L174" i="1"/>
  <c r="K174" i="1"/>
  <c r="J174" i="1" a="1"/>
  <c r="J174" i="1" s="1"/>
  <c r="I174" i="1" a="1"/>
  <c r="I174" i="1" s="1"/>
  <c r="H174" i="1" a="1"/>
  <c r="H174" i="1" s="1"/>
  <c r="G174" i="1" a="1"/>
  <c r="G174" i="1" s="1"/>
  <c r="P173" i="1"/>
  <c r="O173" i="1"/>
  <c r="N173" i="1"/>
  <c r="M173" i="1"/>
  <c r="L173" i="1"/>
  <c r="K173" i="1"/>
  <c r="J173" i="1" a="1"/>
  <c r="J173" i="1" s="1"/>
  <c r="I173" i="1" a="1"/>
  <c r="I173" i="1" s="1"/>
  <c r="H173" i="1" a="1"/>
  <c r="H173" i="1" s="1"/>
  <c r="G173" i="1" a="1"/>
  <c r="G173" i="1" s="1"/>
  <c r="P172" i="1"/>
  <c r="O172" i="1"/>
  <c r="N172" i="1"/>
  <c r="M172" i="1"/>
  <c r="L172" i="1"/>
  <c r="K172" i="1"/>
  <c r="J172" i="1" a="1"/>
  <c r="J172" i="1" s="1"/>
  <c r="I172" i="1" a="1"/>
  <c r="I172" i="1" s="1"/>
  <c r="H172" i="1" a="1"/>
  <c r="H172" i="1" s="1"/>
  <c r="G172" i="1" a="1"/>
  <c r="G172" i="1" s="1"/>
  <c r="P171" i="1"/>
  <c r="O171" i="1"/>
  <c r="N171" i="1"/>
  <c r="M171" i="1"/>
  <c r="L171" i="1"/>
  <c r="K171" i="1"/>
  <c r="J171" i="1" a="1"/>
  <c r="J171" i="1" s="1"/>
  <c r="I171" i="1" a="1"/>
  <c r="I171" i="1" s="1"/>
  <c r="H171" i="1" a="1"/>
  <c r="H171" i="1" s="1"/>
  <c r="G171" i="1" a="1"/>
  <c r="G171" i="1" s="1"/>
  <c r="P170" i="1"/>
  <c r="O170" i="1"/>
  <c r="N170" i="1"/>
  <c r="M170" i="1"/>
  <c r="L170" i="1"/>
  <c r="K170" i="1"/>
  <c r="J170" i="1" a="1"/>
  <c r="J170" i="1" s="1"/>
  <c r="I170" i="1" a="1"/>
  <c r="I170" i="1" s="1"/>
  <c r="H170" i="1" a="1"/>
  <c r="H170" i="1" s="1"/>
  <c r="G170" i="1" a="1"/>
  <c r="G170" i="1" s="1"/>
  <c r="P169" i="1"/>
  <c r="O169" i="1"/>
  <c r="N169" i="1"/>
  <c r="M169" i="1"/>
  <c r="L169" i="1"/>
  <c r="K169" i="1"/>
  <c r="J169" i="1" a="1"/>
  <c r="J169" i="1" s="1"/>
  <c r="I169" i="1" a="1"/>
  <c r="I169" i="1" s="1"/>
  <c r="H169" i="1" a="1"/>
  <c r="H169" i="1" s="1"/>
  <c r="G169" i="1" a="1"/>
  <c r="G169" i="1" s="1"/>
  <c r="P168" i="1"/>
  <c r="O168" i="1"/>
  <c r="N168" i="1"/>
  <c r="M168" i="1"/>
  <c r="L168" i="1"/>
  <c r="K168" i="1"/>
  <c r="J168" i="1" a="1"/>
  <c r="J168" i="1" s="1"/>
  <c r="I168" i="1" a="1"/>
  <c r="I168" i="1" s="1"/>
  <c r="H168" i="1" a="1"/>
  <c r="H168" i="1" s="1"/>
  <c r="G168" i="1" a="1"/>
  <c r="G168" i="1" s="1"/>
  <c r="P167" i="1"/>
  <c r="O167" i="1"/>
  <c r="N167" i="1"/>
  <c r="M167" i="1"/>
  <c r="L167" i="1"/>
  <c r="K167" i="1"/>
  <c r="J167" i="1" a="1"/>
  <c r="J167" i="1" s="1"/>
  <c r="I167" i="1" a="1"/>
  <c r="I167" i="1" s="1"/>
  <c r="H167" i="1" a="1"/>
  <c r="H167" i="1" s="1"/>
  <c r="G167" i="1" a="1"/>
  <c r="G167" i="1" s="1"/>
  <c r="P166" i="1"/>
  <c r="O166" i="1"/>
  <c r="N166" i="1"/>
  <c r="M166" i="1"/>
  <c r="L166" i="1"/>
  <c r="K166" i="1"/>
  <c r="J166" i="1" a="1"/>
  <c r="J166" i="1" s="1"/>
  <c r="I166" i="1" a="1"/>
  <c r="I166" i="1" s="1"/>
  <c r="H166" i="1" a="1"/>
  <c r="H166" i="1" s="1"/>
  <c r="G166" i="1" a="1"/>
  <c r="G166" i="1" s="1"/>
  <c r="P165" i="1"/>
  <c r="O165" i="1"/>
  <c r="N165" i="1"/>
  <c r="M165" i="1"/>
  <c r="L165" i="1"/>
  <c r="K165" i="1"/>
  <c r="J165" i="1" a="1"/>
  <c r="J165" i="1" s="1"/>
  <c r="I165" i="1" a="1"/>
  <c r="I165" i="1" s="1"/>
  <c r="H165" i="1" a="1"/>
  <c r="H165" i="1" s="1"/>
  <c r="G165" i="1" a="1"/>
  <c r="G165" i="1" s="1"/>
  <c r="P164" i="1"/>
  <c r="O164" i="1"/>
  <c r="N164" i="1"/>
  <c r="M164" i="1"/>
  <c r="L164" i="1"/>
  <c r="K164" i="1"/>
  <c r="J164" i="1" a="1"/>
  <c r="J164" i="1" s="1"/>
  <c r="I164" i="1" a="1"/>
  <c r="I164" i="1" s="1"/>
  <c r="H164" i="1" a="1"/>
  <c r="H164" i="1" s="1"/>
  <c r="G164" i="1" a="1"/>
  <c r="G164" i="1" s="1"/>
  <c r="P163" i="1"/>
  <c r="O163" i="1"/>
  <c r="N163" i="1"/>
  <c r="M163" i="1"/>
  <c r="L163" i="1"/>
  <c r="K163" i="1"/>
  <c r="J163" i="1" a="1"/>
  <c r="J163" i="1" s="1"/>
  <c r="I163" i="1" a="1"/>
  <c r="I163" i="1" s="1"/>
  <c r="H163" i="1" a="1"/>
  <c r="H163" i="1" s="1"/>
  <c r="G163" i="1" a="1"/>
  <c r="G163" i="1" s="1"/>
  <c r="P162" i="1"/>
  <c r="O162" i="1"/>
  <c r="N162" i="1"/>
  <c r="M162" i="1"/>
  <c r="L162" i="1"/>
  <c r="K162" i="1"/>
  <c r="J162" i="1" a="1"/>
  <c r="J162" i="1" s="1"/>
  <c r="I162" i="1" a="1"/>
  <c r="I162" i="1" s="1"/>
  <c r="H162" i="1" a="1"/>
  <c r="H162" i="1" s="1"/>
  <c r="G162" i="1" a="1"/>
  <c r="G162" i="1" s="1"/>
  <c r="P161" i="1"/>
  <c r="O161" i="1"/>
  <c r="N161" i="1"/>
  <c r="M161" i="1"/>
  <c r="L161" i="1"/>
  <c r="K161" i="1"/>
  <c r="J161" i="1" a="1"/>
  <c r="J161" i="1" s="1"/>
  <c r="I161" i="1" a="1"/>
  <c r="I161" i="1" s="1"/>
  <c r="H161" i="1" a="1"/>
  <c r="H161" i="1" s="1"/>
  <c r="G161" i="1" a="1"/>
  <c r="G161" i="1" s="1"/>
  <c r="P160" i="1"/>
  <c r="O160" i="1"/>
  <c r="N160" i="1"/>
  <c r="M160" i="1"/>
  <c r="L160" i="1"/>
  <c r="K160" i="1"/>
  <c r="J160" i="1" a="1"/>
  <c r="J160" i="1" s="1"/>
  <c r="I160" i="1" a="1"/>
  <c r="I160" i="1" s="1"/>
  <c r="H160" i="1" a="1"/>
  <c r="H160" i="1" s="1"/>
  <c r="G160" i="1" a="1"/>
  <c r="G160" i="1" s="1"/>
  <c r="P159" i="1"/>
  <c r="O159" i="1"/>
  <c r="N159" i="1"/>
  <c r="M159" i="1"/>
  <c r="L159" i="1"/>
  <c r="K159" i="1"/>
  <c r="J159" i="1" a="1"/>
  <c r="J159" i="1" s="1"/>
  <c r="I159" i="1" a="1"/>
  <c r="I159" i="1" s="1"/>
  <c r="H159" i="1" a="1"/>
  <c r="H159" i="1" s="1"/>
  <c r="G159" i="1" a="1"/>
  <c r="G159" i="1" s="1"/>
  <c r="P158" i="1"/>
  <c r="O158" i="1"/>
  <c r="N158" i="1"/>
  <c r="M158" i="1"/>
  <c r="L158" i="1"/>
  <c r="K158" i="1"/>
  <c r="J158" i="1" a="1"/>
  <c r="J158" i="1" s="1"/>
  <c r="I158" i="1" a="1"/>
  <c r="I158" i="1" s="1"/>
  <c r="H158" i="1" a="1"/>
  <c r="H158" i="1" s="1"/>
  <c r="G158" i="1" a="1"/>
  <c r="G158" i="1" s="1"/>
  <c r="P157" i="1"/>
  <c r="O157" i="1"/>
  <c r="N157" i="1"/>
  <c r="M157" i="1"/>
  <c r="L157" i="1"/>
  <c r="K157" i="1"/>
  <c r="J157" i="1" a="1"/>
  <c r="J157" i="1" s="1"/>
  <c r="I157" i="1" a="1"/>
  <c r="I157" i="1" s="1"/>
  <c r="H157" i="1" a="1"/>
  <c r="H157" i="1" s="1"/>
  <c r="G157" i="1" a="1"/>
  <c r="G157" i="1" s="1"/>
  <c r="P156" i="1"/>
  <c r="O156" i="1"/>
  <c r="N156" i="1"/>
  <c r="M156" i="1"/>
  <c r="L156" i="1"/>
  <c r="K156" i="1"/>
  <c r="J156" i="1" a="1"/>
  <c r="J156" i="1" s="1"/>
  <c r="I156" i="1" a="1"/>
  <c r="I156" i="1" s="1"/>
  <c r="H156" i="1" a="1"/>
  <c r="H156" i="1" s="1"/>
  <c r="G156" i="1" a="1"/>
  <c r="G156" i="1" s="1"/>
  <c r="P155" i="1"/>
  <c r="O155" i="1"/>
  <c r="N155" i="1"/>
  <c r="M155" i="1"/>
  <c r="L155" i="1"/>
  <c r="K155" i="1"/>
  <c r="J155" i="1" a="1"/>
  <c r="J155" i="1" s="1"/>
  <c r="I155" i="1" a="1"/>
  <c r="I155" i="1" s="1"/>
  <c r="H155" i="1" a="1"/>
  <c r="H155" i="1" s="1"/>
  <c r="G155" i="1" a="1"/>
  <c r="G155" i="1" s="1"/>
  <c r="P154" i="1"/>
  <c r="O154" i="1"/>
  <c r="N154" i="1"/>
  <c r="M154" i="1"/>
  <c r="L154" i="1"/>
  <c r="K154" i="1"/>
  <c r="J154" i="1" a="1"/>
  <c r="J154" i="1" s="1"/>
  <c r="I154" i="1" a="1"/>
  <c r="I154" i="1" s="1"/>
  <c r="H154" i="1" a="1"/>
  <c r="H154" i="1" s="1"/>
  <c r="G154" i="1" a="1"/>
  <c r="G154" i="1" s="1"/>
  <c r="P153" i="1"/>
  <c r="O153" i="1"/>
  <c r="N153" i="1"/>
  <c r="M153" i="1"/>
  <c r="L153" i="1"/>
  <c r="K153" i="1"/>
  <c r="J153" i="1" a="1"/>
  <c r="J153" i="1" s="1"/>
  <c r="I153" i="1" a="1"/>
  <c r="I153" i="1" s="1"/>
  <c r="H153" i="1" a="1"/>
  <c r="H153" i="1" s="1"/>
  <c r="G153" i="1" a="1"/>
  <c r="G153" i="1" s="1"/>
  <c r="P152" i="1"/>
  <c r="O152" i="1"/>
  <c r="N152" i="1"/>
  <c r="M152" i="1"/>
  <c r="L152" i="1"/>
  <c r="K152" i="1"/>
  <c r="J152" i="1" a="1"/>
  <c r="J152" i="1" s="1"/>
  <c r="I152" i="1" a="1"/>
  <c r="I152" i="1" s="1"/>
  <c r="H152" i="1" a="1"/>
  <c r="H152" i="1" s="1"/>
  <c r="G152" i="1" a="1"/>
  <c r="G152" i="1" s="1"/>
  <c r="P151" i="1"/>
  <c r="O151" i="1"/>
  <c r="N151" i="1"/>
  <c r="M151" i="1"/>
  <c r="L151" i="1"/>
  <c r="K151" i="1"/>
  <c r="J151" i="1" a="1"/>
  <c r="J151" i="1" s="1"/>
  <c r="I151" i="1" a="1"/>
  <c r="I151" i="1" s="1"/>
  <c r="H151" i="1" a="1"/>
  <c r="H151" i="1" s="1"/>
  <c r="G151" i="1" a="1"/>
  <c r="G151" i="1" s="1"/>
  <c r="P124" i="1"/>
  <c r="O124" i="1"/>
  <c r="N124" i="1"/>
  <c r="M124" i="1"/>
  <c r="L124" i="1"/>
  <c r="K124" i="1"/>
  <c r="J124" i="1" a="1"/>
  <c r="J124" i="1" s="1"/>
  <c r="I124" i="1" a="1"/>
  <c r="I124" i="1" s="1"/>
  <c r="H124" i="1" a="1"/>
  <c r="H124" i="1" s="1"/>
  <c r="G124" i="1" a="1"/>
  <c r="G124" i="1" s="1"/>
  <c r="P123" i="1"/>
  <c r="O123" i="1"/>
  <c r="N123" i="1"/>
  <c r="M123" i="1"/>
  <c r="L123" i="1"/>
  <c r="K123" i="1"/>
  <c r="J123" i="1" a="1"/>
  <c r="J123" i="1" s="1"/>
  <c r="I123" i="1" a="1"/>
  <c r="I123" i="1" s="1"/>
  <c r="H123" i="1" a="1"/>
  <c r="H123" i="1" s="1"/>
  <c r="G123" i="1" a="1"/>
  <c r="G123" i="1" s="1"/>
  <c r="P122" i="1"/>
  <c r="O122" i="1"/>
  <c r="N122" i="1"/>
  <c r="M122" i="1"/>
  <c r="L122" i="1"/>
  <c r="K122" i="1"/>
  <c r="J122" i="1" a="1"/>
  <c r="J122" i="1" s="1"/>
  <c r="I122" i="1" a="1"/>
  <c r="I122" i="1" s="1"/>
  <c r="H122" i="1" a="1"/>
  <c r="H122" i="1" s="1"/>
  <c r="G122" i="1" a="1"/>
  <c r="G122" i="1" s="1"/>
  <c r="P121" i="1"/>
  <c r="O121" i="1"/>
  <c r="N121" i="1"/>
  <c r="M121" i="1"/>
  <c r="L121" i="1"/>
  <c r="K121" i="1"/>
  <c r="J121" i="1" a="1"/>
  <c r="J121" i="1" s="1"/>
  <c r="I121" i="1" a="1"/>
  <c r="I121" i="1" s="1"/>
  <c r="H121" i="1" a="1"/>
  <c r="H121" i="1" s="1"/>
  <c r="G121" i="1" a="1"/>
  <c r="G121" i="1" s="1"/>
  <c r="P120" i="1"/>
  <c r="O120" i="1"/>
  <c r="N120" i="1"/>
  <c r="M120" i="1"/>
  <c r="L120" i="1"/>
  <c r="K120" i="1"/>
  <c r="J120" i="1" a="1"/>
  <c r="J120" i="1" s="1"/>
  <c r="I120" i="1" a="1"/>
  <c r="I120" i="1" s="1"/>
  <c r="H120" i="1" a="1"/>
  <c r="H120" i="1" s="1"/>
  <c r="G120" i="1" a="1"/>
  <c r="G120" i="1" s="1"/>
  <c r="P119" i="1"/>
  <c r="O119" i="1"/>
  <c r="N119" i="1"/>
  <c r="M119" i="1"/>
  <c r="L119" i="1"/>
  <c r="K119" i="1"/>
  <c r="J119" i="1" a="1"/>
  <c r="J119" i="1" s="1"/>
  <c r="I119" i="1" a="1"/>
  <c r="I119" i="1" s="1"/>
  <c r="H119" i="1" a="1"/>
  <c r="H119" i="1" s="1"/>
  <c r="G119" i="1" a="1"/>
  <c r="G119" i="1" s="1"/>
  <c r="P118" i="1"/>
  <c r="O118" i="1"/>
  <c r="N118" i="1"/>
  <c r="M118" i="1"/>
  <c r="L118" i="1"/>
  <c r="K118" i="1"/>
  <c r="J118" i="1" a="1"/>
  <c r="J118" i="1" s="1"/>
  <c r="I118" i="1" a="1"/>
  <c r="I118" i="1" s="1"/>
  <c r="H118" i="1" a="1"/>
  <c r="H118" i="1" s="1"/>
  <c r="G118" i="1" a="1"/>
  <c r="G118" i="1" s="1"/>
  <c r="P117" i="1"/>
  <c r="O117" i="1"/>
  <c r="N117" i="1"/>
  <c r="M117" i="1"/>
  <c r="L117" i="1"/>
  <c r="K117" i="1"/>
  <c r="J117" i="1" a="1"/>
  <c r="J117" i="1" s="1"/>
  <c r="I117" i="1" a="1"/>
  <c r="I117" i="1" s="1"/>
  <c r="H117" i="1" a="1"/>
  <c r="H117" i="1" s="1"/>
  <c r="G117" i="1" a="1"/>
  <c r="G117" i="1" s="1"/>
  <c r="P116" i="1"/>
  <c r="O116" i="1"/>
  <c r="N116" i="1"/>
  <c r="M116" i="1"/>
  <c r="L116" i="1"/>
  <c r="K116" i="1"/>
  <c r="J116" i="1" a="1"/>
  <c r="J116" i="1" s="1"/>
  <c r="I116" i="1" a="1"/>
  <c r="I116" i="1" s="1"/>
  <c r="H116" i="1" a="1"/>
  <c r="H116" i="1" s="1"/>
  <c r="G116" i="1" a="1"/>
  <c r="G116" i="1" s="1"/>
  <c r="P115" i="1"/>
  <c r="O115" i="1"/>
  <c r="N115" i="1"/>
  <c r="M115" i="1"/>
  <c r="L115" i="1"/>
  <c r="K115" i="1"/>
  <c r="J115" i="1" a="1"/>
  <c r="J115" i="1" s="1"/>
  <c r="I115" i="1" a="1"/>
  <c r="I115" i="1" s="1"/>
  <c r="H115" i="1" a="1"/>
  <c r="H115" i="1" s="1"/>
  <c r="G115" i="1" a="1"/>
  <c r="G115" i="1" s="1"/>
  <c r="P114" i="1"/>
  <c r="O114" i="1"/>
  <c r="N114" i="1"/>
  <c r="M114" i="1"/>
  <c r="L114" i="1"/>
  <c r="K114" i="1"/>
  <c r="J114" i="1" a="1"/>
  <c r="J114" i="1" s="1"/>
  <c r="I114" i="1" a="1"/>
  <c r="I114" i="1" s="1"/>
  <c r="H114" i="1" a="1"/>
  <c r="H114" i="1" s="1"/>
  <c r="G114" i="1" a="1"/>
  <c r="G114" i="1" s="1"/>
  <c r="P113" i="1"/>
  <c r="O113" i="1"/>
  <c r="N113" i="1"/>
  <c r="M113" i="1"/>
  <c r="L113" i="1"/>
  <c r="K113" i="1"/>
  <c r="J113" i="1" a="1"/>
  <c r="J113" i="1" s="1"/>
  <c r="I113" i="1" a="1"/>
  <c r="I113" i="1" s="1"/>
  <c r="H113" i="1" a="1"/>
  <c r="H113" i="1" s="1"/>
  <c r="G113" i="1" a="1"/>
  <c r="G113" i="1" s="1"/>
  <c r="P112" i="1"/>
  <c r="O112" i="1"/>
  <c r="N112" i="1"/>
  <c r="M112" i="1"/>
  <c r="L112" i="1"/>
  <c r="K112" i="1"/>
  <c r="J112" i="1" a="1"/>
  <c r="J112" i="1" s="1"/>
  <c r="I112" i="1" a="1"/>
  <c r="I112" i="1" s="1"/>
  <c r="H112" i="1" a="1"/>
  <c r="H112" i="1" s="1"/>
  <c r="G112" i="1" a="1"/>
  <c r="G112" i="1" s="1"/>
  <c r="P111" i="1"/>
  <c r="O111" i="1"/>
  <c r="N111" i="1"/>
  <c r="M111" i="1"/>
  <c r="L111" i="1"/>
  <c r="K111" i="1"/>
  <c r="J111" i="1" a="1"/>
  <c r="J111" i="1" s="1"/>
  <c r="I111" i="1" a="1"/>
  <c r="I111" i="1" s="1"/>
  <c r="H111" i="1" a="1"/>
  <c r="H111" i="1" s="1"/>
  <c r="G111" i="1" a="1"/>
  <c r="G111" i="1" s="1"/>
  <c r="P110" i="1"/>
  <c r="O110" i="1"/>
  <c r="N110" i="1"/>
  <c r="M110" i="1"/>
  <c r="L110" i="1"/>
  <c r="K110" i="1"/>
  <c r="J110" i="1" a="1"/>
  <c r="J110" i="1" s="1"/>
  <c r="I110" i="1" a="1"/>
  <c r="I110" i="1" s="1"/>
  <c r="H110" i="1" a="1"/>
  <c r="H110" i="1" s="1"/>
  <c r="G110" i="1" a="1"/>
  <c r="G110" i="1" s="1"/>
  <c r="P109" i="1"/>
  <c r="O109" i="1"/>
  <c r="N109" i="1"/>
  <c r="M109" i="1"/>
  <c r="L109" i="1"/>
  <c r="K109" i="1"/>
  <c r="J109" i="1" a="1"/>
  <c r="J109" i="1" s="1"/>
  <c r="I109" i="1" a="1"/>
  <c r="I109" i="1" s="1"/>
  <c r="H109" i="1" a="1"/>
  <c r="H109" i="1" s="1"/>
  <c r="G109" i="1" a="1"/>
  <c r="G109" i="1" s="1"/>
  <c r="P108" i="1"/>
  <c r="O108" i="1"/>
  <c r="N108" i="1"/>
  <c r="M108" i="1"/>
  <c r="L108" i="1"/>
  <c r="K108" i="1"/>
  <c r="J108" i="1" a="1"/>
  <c r="J108" i="1" s="1"/>
  <c r="I108" i="1" a="1"/>
  <c r="I108" i="1" s="1"/>
  <c r="H108" i="1" a="1"/>
  <c r="H108" i="1" s="1"/>
  <c r="G108" i="1" a="1"/>
  <c r="G108" i="1" s="1"/>
  <c r="P107" i="1"/>
  <c r="O107" i="1"/>
  <c r="N107" i="1"/>
  <c r="M107" i="1"/>
  <c r="L107" i="1"/>
  <c r="K107" i="1"/>
  <c r="J107" i="1" a="1"/>
  <c r="J107" i="1" s="1"/>
  <c r="I107" i="1" a="1"/>
  <c r="I107" i="1" s="1"/>
  <c r="H107" i="1" a="1"/>
  <c r="H107" i="1" s="1"/>
  <c r="G107" i="1" a="1"/>
  <c r="G107" i="1" s="1"/>
  <c r="P106" i="1"/>
  <c r="O106" i="1"/>
  <c r="N106" i="1"/>
  <c r="M106" i="1"/>
  <c r="L106" i="1"/>
  <c r="K106" i="1"/>
  <c r="J106" i="1" a="1"/>
  <c r="J106" i="1" s="1"/>
  <c r="I106" i="1" a="1"/>
  <c r="I106" i="1" s="1"/>
  <c r="H106" i="1" a="1"/>
  <c r="H106" i="1" s="1"/>
  <c r="G106" i="1" a="1"/>
  <c r="G106" i="1" s="1"/>
  <c r="P105" i="1"/>
  <c r="O105" i="1"/>
  <c r="N105" i="1"/>
  <c r="M105" i="1"/>
  <c r="L105" i="1"/>
  <c r="K105" i="1"/>
  <c r="J105" i="1" a="1"/>
  <c r="J105" i="1" s="1"/>
  <c r="I105" i="1" a="1"/>
  <c r="I105" i="1" s="1"/>
  <c r="H105" i="1" a="1"/>
  <c r="H105" i="1" s="1"/>
  <c r="G105" i="1" a="1"/>
  <c r="G105" i="1" s="1"/>
  <c r="P104" i="1"/>
  <c r="O104" i="1"/>
  <c r="N104" i="1"/>
  <c r="M104" i="1"/>
  <c r="L104" i="1"/>
  <c r="K104" i="1"/>
  <c r="J104" i="1" a="1"/>
  <c r="J104" i="1" s="1"/>
  <c r="I104" i="1" a="1"/>
  <c r="I104" i="1" s="1"/>
  <c r="H104" i="1" a="1"/>
  <c r="H104" i="1" s="1"/>
  <c r="G104" i="1" a="1"/>
  <c r="G104" i="1" s="1"/>
  <c r="P103" i="1"/>
  <c r="O103" i="1"/>
  <c r="N103" i="1"/>
  <c r="M103" i="1"/>
  <c r="L103" i="1"/>
  <c r="K103" i="1"/>
  <c r="J103" i="1" a="1"/>
  <c r="J103" i="1" s="1"/>
  <c r="I103" i="1" a="1"/>
  <c r="I103" i="1" s="1"/>
  <c r="H103" i="1" a="1"/>
  <c r="H103" i="1" s="1"/>
  <c r="G103" i="1" a="1"/>
  <c r="G103" i="1" s="1"/>
  <c r="P102" i="1"/>
  <c r="O102" i="1"/>
  <c r="N102" i="1"/>
  <c r="M102" i="1"/>
  <c r="L102" i="1"/>
  <c r="K102" i="1"/>
  <c r="J102" i="1" a="1"/>
  <c r="J102" i="1" s="1"/>
  <c r="I102" i="1" a="1"/>
  <c r="I102" i="1" s="1"/>
  <c r="H102" i="1" a="1"/>
  <c r="H102" i="1" s="1"/>
  <c r="G102" i="1" a="1"/>
  <c r="G102" i="1" s="1"/>
  <c r="P101" i="1"/>
  <c r="O101" i="1"/>
  <c r="N101" i="1"/>
  <c r="M101" i="1"/>
  <c r="L101" i="1"/>
  <c r="K101" i="1"/>
  <c r="J101" i="1" a="1"/>
  <c r="J101" i="1" s="1"/>
  <c r="I101" i="1" a="1"/>
  <c r="I101" i="1" s="1"/>
  <c r="H101" i="1" a="1"/>
  <c r="H101" i="1" s="1"/>
  <c r="G101" i="1" a="1"/>
  <c r="G101" i="1" s="1"/>
  <c r="P100" i="1"/>
  <c r="O100" i="1"/>
  <c r="N100" i="1"/>
  <c r="M100" i="1"/>
  <c r="L100" i="1"/>
  <c r="K100" i="1"/>
  <c r="J100" i="1" a="1"/>
  <c r="J100" i="1" s="1"/>
  <c r="I100" i="1" a="1"/>
  <c r="I100" i="1" s="1"/>
  <c r="H100" i="1" a="1"/>
  <c r="H100" i="1" s="1"/>
  <c r="G100" i="1" a="1"/>
  <c r="G100" i="1" s="1"/>
  <c r="P99" i="1"/>
  <c r="O99" i="1"/>
  <c r="N99" i="1"/>
  <c r="M99" i="1"/>
  <c r="L99" i="1"/>
  <c r="K99" i="1"/>
  <c r="J99" i="1" a="1"/>
  <c r="J99" i="1" s="1"/>
  <c r="I99" i="1" a="1"/>
  <c r="I99" i="1" s="1"/>
  <c r="H99" i="1" a="1"/>
  <c r="H99" i="1" s="1"/>
  <c r="G99" i="1" a="1"/>
  <c r="G99" i="1" s="1"/>
  <c r="P98" i="1"/>
  <c r="O98" i="1"/>
  <c r="N98" i="1"/>
  <c r="M98" i="1"/>
  <c r="L98" i="1"/>
  <c r="K98" i="1"/>
  <c r="J98" i="1" a="1"/>
  <c r="J98" i="1" s="1"/>
  <c r="I98" i="1" a="1"/>
  <c r="I98" i="1" s="1"/>
  <c r="H98" i="1" a="1"/>
  <c r="H98" i="1" s="1"/>
  <c r="G98" i="1" a="1"/>
  <c r="G98" i="1" s="1"/>
  <c r="P97" i="1"/>
  <c r="O97" i="1"/>
  <c r="N97" i="1"/>
  <c r="M97" i="1"/>
  <c r="L97" i="1"/>
  <c r="K97" i="1"/>
  <c r="J97" i="1" a="1"/>
  <c r="J97" i="1" s="1"/>
  <c r="I97" i="1" a="1"/>
  <c r="I97" i="1" s="1"/>
  <c r="H97" i="1" a="1"/>
  <c r="H97" i="1" s="1"/>
  <c r="G97" i="1" a="1"/>
  <c r="G97" i="1" s="1"/>
  <c r="P96" i="1"/>
  <c r="O96" i="1"/>
  <c r="N96" i="1"/>
  <c r="M96" i="1"/>
  <c r="L96" i="1"/>
  <c r="K96" i="1"/>
  <c r="J96" i="1" a="1"/>
  <c r="J96" i="1" s="1"/>
  <c r="I96" i="1" a="1"/>
  <c r="I96" i="1" s="1"/>
  <c r="H96" i="1" a="1"/>
  <c r="H96" i="1" s="1"/>
  <c r="G96" i="1" a="1"/>
  <c r="G96" i="1" s="1"/>
  <c r="P95" i="1"/>
  <c r="O95" i="1"/>
  <c r="N95" i="1"/>
  <c r="M95" i="1"/>
  <c r="L95" i="1"/>
  <c r="K95" i="1"/>
  <c r="J95" i="1" a="1"/>
  <c r="J95" i="1" s="1"/>
  <c r="I95" i="1" a="1"/>
  <c r="I95" i="1" s="1"/>
  <c r="H95" i="1" a="1"/>
  <c r="H95" i="1" s="1"/>
  <c r="G95" i="1" a="1"/>
  <c r="G95" i="1" s="1"/>
  <c r="P94" i="1"/>
  <c r="O94" i="1"/>
  <c r="N94" i="1"/>
  <c r="M94" i="1"/>
  <c r="L94" i="1"/>
  <c r="K94" i="1"/>
  <c r="J94" i="1" a="1"/>
  <c r="J94" i="1" s="1"/>
  <c r="I94" i="1" a="1"/>
  <c r="I94" i="1" s="1"/>
  <c r="H94" i="1" a="1"/>
  <c r="H94" i="1" s="1"/>
  <c r="G94" i="1" a="1"/>
  <c r="G94" i="1" s="1"/>
  <c r="P93" i="1"/>
  <c r="O93" i="1"/>
  <c r="N93" i="1"/>
  <c r="M93" i="1"/>
  <c r="L93" i="1"/>
  <c r="K93" i="1"/>
  <c r="J93" i="1" a="1"/>
  <c r="J93" i="1" s="1"/>
  <c r="I93" i="1" a="1"/>
  <c r="I93" i="1" s="1"/>
  <c r="H93" i="1" a="1"/>
  <c r="H93" i="1" s="1"/>
  <c r="G93" i="1" a="1"/>
  <c r="G93" i="1" s="1"/>
  <c r="P92" i="1"/>
  <c r="O92" i="1"/>
  <c r="N92" i="1"/>
  <c r="M92" i="1"/>
  <c r="L92" i="1"/>
  <c r="K92" i="1"/>
  <c r="J92" i="1" a="1"/>
  <c r="J92" i="1" s="1"/>
  <c r="I92" i="1" a="1"/>
  <c r="I92" i="1" s="1"/>
  <c r="H92" i="1" a="1"/>
  <c r="H92" i="1" s="1"/>
  <c r="G92" i="1" a="1"/>
  <c r="G92" i="1" s="1"/>
  <c r="P91" i="1"/>
  <c r="O91" i="1"/>
  <c r="N91" i="1"/>
  <c r="M91" i="1"/>
  <c r="L91" i="1"/>
  <c r="K91" i="1"/>
  <c r="J91" i="1" a="1"/>
  <c r="J91" i="1" s="1"/>
  <c r="I91" i="1" a="1"/>
  <c r="I91" i="1" s="1"/>
  <c r="H91" i="1" a="1"/>
  <c r="H91" i="1" s="1"/>
  <c r="G91" i="1" a="1"/>
  <c r="G91" i="1" s="1"/>
  <c r="P90" i="1"/>
  <c r="O90" i="1"/>
  <c r="N90" i="1"/>
  <c r="M90" i="1"/>
  <c r="L90" i="1"/>
  <c r="K90" i="1"/>
  <c r="J90" i="1" a="1"/>
  <c r="J90" i="1" s="1"/>
  <c r="I90" i="1" a="1"/>
  <c r="I90" i="1" s="1"/>
  <c r="H90" i="1" a="1"/>
  <c r="H90" i="1" s="1"/>
  <c r="G90" i="1" a="1"/>
  <c r="G90" i="1" s="1"/>
  <c r="P89" i="1"/>
  <c r="O89" i="1"/>
  <c r="N89" i="1"/>
  <c r="M89" i="1"/>
  <c r="L89" i="1"/>
  <c r="K89" i="1"/>
  <c r="J89" i="1" a="1"/>
  <c r="J89" i="1" s="1"/>
  <c r="I89" i="1" a="1"/>
  <c r="I89" i="1" s="1"/>
  <c r="H89" i="1" a="1"/>
  <c r="H89" i="1" s="1"/>
  <c r="G89" i="1" a="1"/>
  <c r="G89" i="1" s="1"/>
  <c r="P88" i="1"/>
  <c r="O88" i="1"/>
  <c r="N88" i="1"/>
  <c r="M88" i="1"/>
  <c r="L88" i="1"/>
  <c r="K88" i="1"/>
  <c r="J88" i="1" a="1"/>
  <c r="J88" i="1" s="1"/>
  <c r="I88" i="1" a="1"/>
  <c r="I88" i="1" s="1"/>
  <c r="H88" i="1" a="1"/>
  <c r="H88" i="1" s="1"/>
  <c r="G88" i="1" a="1"/>
  <c r="G88" i="1" s="1"/>
  <c r="P87" i="1"/>
  <c r="O87" i="1"/>
  <c r="N87" i="1"/>
  <c r="M87" i="1"/>
  <c r="L87" i="1"/>
  <c r="K87" i="1"/>
  <c r="J87" i="1" a="1"/>
  <c r="J87" i="1" s="1"/>
  <c r="I87" i="1" a="1"/>
  <c r="I87" i="1" s="1"/>
  <c r="H87" i="1" a="1"/>
  <c r="H87" i="1" s="1"/>
  <c r="G87" i="1" a="1"/>
  <c r="G87" i="1" s="1"/>
  <c r="P86" i="1"/>
  <c r="O86" i="1"/>
  <c r="N86" i="1"/>
  <c r="M86" i="1"/>
  <c r="L86" i="1"/>
  <c r="K86" i="1"/>
  <c r="J86" i="1" a="1"/>
  <c r="J86" i="1" s="1"/>
  <c r="I86" i="1" a="1"/>
  <c r="I86" i="1" s="1"/>
  <c r="H86" i="1" a="1"/>
  <c r="H86" i="1" s="1"/>
  <c r="G86" i="1" a="1"/>
  <c r="G86" i="1" s="1"/>
  <c r="P85" i="1"/>
  <c r="O85" i="1"/>
  <c r="N85" i="1"/>
  <c r="M85" i="1"/>
  <c r="L85" i="1"/>
  <c r="K85" i="1"/>
  <c r="J85" i="1" a="1"/>
  <c r="J85" i="1" s="1"/>
  <c r="I85" i="1" a="1"/>
  <c r="I85" i="1" s="1"/>
  <c r="H85" i="1" a="1"/>
  <c r="H85" i="1" s="1"/>
  <c r="G85" i="1" a="1"/>
  <c r="G85" i="1" s="1"/>
  <c r="P84" i="1"/>
  <c r="O84" i="1"/>
  <c r="N84" i="1"/>
  <c r="M84" i="1"/>
  <c r="L84" i="1"/>
  <c r="K84" i="1"/>
  <c r="J84" i="1" a="1"/>
  <c r="J84" i="1" s="1"/>
  <c r="I84" i="1" a="1"/>
  <c r="I84" i="1" s="1"/>
  <c r="H84" i="1" a="1"/>
  <c r="H84" i="1" s="1"/>
  <c r="G84" i="1" a="1"/>
  <c r="G84" i="1" s="1"/>
  <c r="P83" i="1"/>
  <c r="O83" i="1"/>
  <c r="N83" i="1"/>
  <c r="M83" i="1"/>
  <c r="L83" i="1"/>
  <c r="K83" i="1"/>
  <c r="J83" i="1" a="1"/>
  <c r="J83" i="1" s="1"/>
  <c r="I83" i="1" a="1"/>
  <c r="I83" i="1" s="1"/>
  <c r="H83" i="1" a="1"/>
  <c r="H83" i="1" s="1"/>
  <c r="G83" i="1" a="1"/>
  <c r="G83" i="1" s="1"/>
  <c r="P82" i="1"/>
  <c r="O82" i="1"/>
  <c r="N82" i="1"/>
  <c r="M82" i="1"/>
  <c r="L82" i="1"/>
  <c r="K82" i="1"/>
  <c r="J82" i="1" a="1"/>
  <c r="J82" i="1" s="1"/>
  <c r="I82" i="1" a="1"/>
  <c r="I82" i="1" s="1"/>
  <c r="H82" i="1" a="1"/>
  <c r="H82" i="1" s="1"/>
  <c r="G82" i="1" a="1"/>
  <c r="G82" i="1" s="1"/>
  <c r="P81" i="1"/>
  <c r="O81" i="1"/>
  <c r="N81" i="1"/>
  <c r="M81" i="1"/>
  <c r="L81" i="1"/>
  <c r="K81" i="1"/>
  <c r="J81" i="1" a="1"/>
  <c r="J81" i="1" s="1"/>
  <c r="I81" i="1" a="1"/>
  <c r="I81" i="1" s="1"/>
  <c r="H81" i="1" a="1"/>
  <c r="H81" i="1" s="1"/>
  <c r="G81" i="1" a="1"/>
  <c r="G81" i="1" s="1"/>
  <c r="P80" i="1"/>
  <c r="O80" i="1"/>
  <c r="N80" i="1"/>
  <c r="M80" i="1"/>
  <c r="L80" i="1"/>
  <c r="K80" i="1"/>
  <c r="J80" i="1" a="1"/>
  <c r="J80" i="1" s="1"/>
  <c r="I80" i="1" a="1"/>
  <c r="I80" i="1" s="1"/>
  <c r="H80" i="1" a="1"/>
  <c r="H80" i="1" s="1"/>
  <c r="G80" i="1" a="1"/>
  <c r="G80" i="1" s="1"/>
  <c r="P79" i="1"/>
  <c r="O79" i="1"/>
  <c r="N79" i="1"/>
  <c r="M79" i="1"/>
  <c r="L79" i="1"/>
  <c r="K79" i="1"/>
  <c r="J79" i="1" a="1"/>
  <c r="J79" i="1" s="1"/>
  <c r="I79" i="1" a="1"/>
  <c r="I79" i="1" s="1"/>
  <c r="H79" i="1" a="1"/>
  <c r="H79" i="1" s="1"/>
  <c r="G79" i="1" a="1"/>
  <c r="G79" i="1" s="1"/>
  <c r="P78" i="1"/>
  <c r="O78" i="1"/>
  <c r="N78" i="1"/>
  <c r="M78" i="1"/>
  <c r="L78" i="1"/>
  <c r="K78" i="1"/>
  <c r="J78" i="1" a="1"/>
  <c r="J78" i="1" s="1"/>
  <c r="I78" i="1" a="1"/>
  <c r="I78" i="1" s="1"/>
  <c r="H78" i="1" a="1"/>
  <c r="H78" i="1" s="1"/>
  <c r="G78" i="1" a="1"/>
  <c r="G78" i="1" s="1"/>
  <c r="P77" i="1"/>
  <c r="O77" i="1"/>
  <c r="N77" i="1"/>
  <c r="M77" i="1"/>
  <c r="L77" i="1"/>
  <c r="K77" i="1"/>
  <c r="J77" i="1" a="1"/>
  <c r="J77" i="1" s="1"/>
  <c r="I77" i="1" a="1"/>
  <c r="I77" i="1" s="1"/>
  <c r="H77" i="1" a="1"/>
  <c r="H77" i="1" s="1"/>
  <c r="G77" i="1" a="1"/>
  <c r="G77" i="1" s="1"/>
  <c r="P76" i="1"/>
  <c r="O76" i="1"/>
  <c r="N76" i="1"/>
  <c r="M76" i="1"/>
  <c r="L76" i="1"/>
  <c r="K76" i="1"/>
  <c r="J76" i="1" a="1"/>
  <c r="J76" i="1" s="1"/>
  <c r="I76" i="1" a="1"/>
  <c r="I76" i="1" s="1"/>
  <c r="H76" i="1" a="1"/>
  <c r="H76" i="1" s="1"/>
  <c r="G76" i="1" a="1"/>
  <c r="G76" i="1" s="1"/>
  <c r="P75" i="1"/>
  <c r="O75" i="1"/>
  <c r="N75" i="1"/>
  <c r="M75" i="1"/>
  <c r="L75" i="1"/>
  <c r="K75" i="1"/>
  <c r="J75" i="1" a="1"/>
  <c r="J75" i="1" s="1"/>
  <c r="I75" i="1" a="1"/>
  <c r="I75" i="1" s="1"/>
  <c r="H75" i="1" a="1"/>
  <c r="H75" i="1" s="1"/>
  <c r="G75" i="1" a="1"/>
  <c r="G75" i="1" s="1"/>
  <c r="P74" i="1"/>
  <c r="O74" i="1"/>
  <c r="N74" i="1"/>
  <c r="M74" i="1"/>
  <c r="L74" i="1"/>
  <c r="K74" i="1"/>
  <c r="J74" i="1" a="1"/>
  <c r="J74" i="1" s="1"/>
  <c r="I74" i="1" a="1"/>
  <c r="I74" i="1" s="1"/>
  <c r="H74" i="1" a="1"/>
  <c r="H74" i="1" s="1"/>
  <c r="G74" i="1" a="1"/>
  <c r="G74" i="1" s="1"/>
  <c r="P73" i="1"/>
  <c r="O73" i="1"/>
  <c r="N73" i="1"/>
  <c r="M73" i="1"/>
  <c r="L73" i="1"/>
  <c r="K73" i="1"/>
  <c r="J73" i="1" a="1"/>
  <c r="J73" i="1" s="1"/>
  <c r="I73" i="1" a="1"/>
  <c r="I73" i="1" s="1"/>
  <c r="H73" i="1" a="1"/>
  <c r="H73" i="1" s="1"/>
  <c r="G73" i="1" a="1"/>
  <c r="G73" i="1" s="1"/>
  <c r="P72" i="1"/>
  <c r="O72" i="1"/>
  <c r="N72" i="1"/>
  <c r="M72" i="1"/>
  <c r="L72" i="1"/>
  <c r="K72" i="1"/>
  <c r="J72" i="1" a="1"/>
  <c r="J72" i="1" s="1"/>
  <c r="I72" i="1" a="1"/>
  <c r="I72" i="1" s="1"/>
  <c r="H72" i="1" a="1"/>
  <c r="H72" i="1" s="1"/>
  <c r="G72" i="1" a="1"/>
  <c r="G72" i="1" s="1"/>
  <c r="P71" i="1"/>
  <c r="O71" i="1"/>
  <c r="N71" i="1"/>
  <c r="M71" i="1"/>
  <c r="L71" i="1"/>
  <c r="K71" i="1"/>
  <c r="J71" i="1" a="1"/>
  <c r="J71" i="1" s="1"/>
  <c r="I71" i="1" a="1"/>
  <c r="I71" i="1" s="1"/>
  <c r="H71" i="1" a="1"/>
  <c r="H71" i="1" s="1"/>
  <c r="G71" i="1" a="1"/>
  <c r="G71" i="1" s="1"/>
  <c r="P70" i="1"/>
  <c r="O70" i="1"/>
  <c r="N70" i="1"/>
  <c r="M70" i="1"/>
  <c r="L70" i="1"/>
  <c r="K70" i="1"/>
  <c r="J70" i="1" a="1"/>
  <c r="J70" i="1" s="1"/>
  <c r="I70" i="1" a="1"/>
  <c r="I70" i="1" s="1"/>
  <c r="H70" i="1" a="1"/>
  <c r="H70" i="1" s="1"/>
  <c r="G70" i="1" a="1"/>
  <c r="G70" i="1" s="1"/>
  <c r="P69" i="1"/>
  <c r="O69" i="1"/>
  <c r="N69" i="1"/>
  <c r="M69" i="1"/>
  <c r="L69" i="1"/>
  <c r="K69" i="1"/>
  <c r="J69" i="1" a="1"/>
  <c r="J69" i="1" s="1"/>
  <c r="I69" i="1" a="1"/>
  <c r="I69" i="1" s="1"/>
  <c r="H69" i="1" a="1"/>
  <c r="H69" i="1" s="1"/>
  <c r="G69" i="1" a="1"/>
  <c r="G69" i="1" s="1"/>
  <c r="P68" i="1"/>
  <c r="O68" i="1"/>
  <c r="N68" i="1"/>
  <c r="M68" i="1"/>
  <c r="L68" i="1"/>
  <c r="K68" i="1"/>
  <c r="J68" i="1" a="1"/>
  <c r="J68" i="1" s="1"/>
  <c r="I68" i="1" a="1"/>
  <c r="I68" i="1" s="1"/>
  <c r="H68" i="1" a="1"/>
  <c r="H68" i="1" s="1"/>
  <c r="G68" i="1" a="1"/>
  <c r="G68" i="1" s="1"/>
  <c r="P67" i="1"/>
  <c r="O67" i="1"/>
  <c r="N67" i="1"/>
  <c r="M67" i="1"/>
  <c r="L67" i="1"/>
  <c r="K67" i="1"/>
  <c r="J67" i="1" a="1"/>
  <c r="J67" i="1" s="1"/>
  <c r="I67" i="1" a="1"/>
  <c r="I67" i="1" s="1"/>
  <c r="H67" i="1" a="1"/>
  <c r="H67" i="1" s="1"/>
  <c r="G67" i="1" a="1"/>
  <c r="G67" i="1" s="1"/>
  <c r="P66" i="1"/>
  <c r="O66" i="1"/>
  <c r="N66" i="1"/>
  <c r="M66" i="1"/>
  <c r="L66" i="1"/>
  <c r="K66" i="1"/>
  <c r="J66" i="1" a="1"/>
  <c r="J66" i="1" s="1"/>
  <c r="I66" i="1" a="1"/>
  <c r="I66" i="1" s="1"/>
  <c r="H66" i="1" a="1"/>
  <c r="H66" i="1" s="1"/>
  <c r="G66" i="1" a="1"/>
  <c r="G66" i="1" s="1"/>
  <c r="P65" i="1"/>
  <c r="O65" i="1"/>
  <c r="N65" i="1"/>
  <c r="M65" i="1"/>
  <c r="L65" i="1"/>
  <c r="K65" i="1"/>
  <c r="J65" i="1" a="1"/>
  <c r="J65" i="1" s="1"/>
  <c r="I65" i="1" a="1"/>
  <c r="I65" i="1" s="1"/>
  <c r="H65" i="1" a="1"/>
  <c r="H65" i="1" s="1"/>
  <c r="G65" i="1" a="1"/>
  <c r="G65" i="1" s="1"/>
  <c r="P64" i="1"/>
  <c r="O64" i="1"/>
  <c r="N64" i="1"/>
  <c r="M64" i="1"/>
  <c r="L64" i="1"/>
  <c r="K64" i="1"/>
  <c r="J64" i="1" a="1"/>
  <c r="J64" i="1" s="1"/>
  <c r="I64" i="1" a="1"/>
  <c r="I64" i="1" s="1"/>
  <c r="H64" i="1" a="1"/>
  <c r="H64" i="1" s="1"/>
  <c r="G64" i="1" a="1"/>
  <c r="G64" i="1" s="1"/>
  <c r="P63" i="1"/>
  <c r="O63" i="1"/>
  <c r="N63" i="1"/>
  <c r="M63" i="1"/>
  <c r="L63" i="1"/>
  <c r="K63" i="1"/>
  <c r="J63" i="1" a="1"/>
  <c r="J63" i="1" s="1"/>
  <c r="I63" i="1" a="1"/>
  <c r="I63" i="1" s="1"/>
  <c r="H63" i="1" a="1"/>
  <c r="H63" i="1" s="1"/>
  <c r="G63" i="1" a="1"/>
  <c r="G63" i="1" s="1"/>
  <c r="P62" i="1"/>
  <c r="O62" i="1"/>
  <c r="N62" i="1"/>
  <c r="M62" i="1"/>
  <c r="L62" i="1"/>
  <c r="K62" i="1"/>
  <c r="J62" i="1" a="1"/>
  <c r="J62" i="1" s="1"/>
  <c r="I62" i="1" a="1"/>
  <c r="I62" i="1" s="1"/>
  <c r="H62" i="1" a="1"/>
  <c r="H62" i="1" s="1"/>
  <c r="G62" i="1" a="1"/>
  <c r="G62" i="1" s="1"/>
  <c r="P61" i="1"/>
  <c r="O61" i="1"/>
  <c r="N61" i="1"/>
  <c r="M61" i="1"/>
  <c r="L61" i="1"/>
  <c r="K61" i="1"/>
  <c r="J61" i="1" a="1"/>
  <c r="J61" i="1" s="1"/>
  <c r="I61" i="1" a="1"/>
  <c r="I61" i="1" s="1"/>
  <c r="H61" i="1" a="1"/>
  <c r="H61" i="1" s="1"/>
  <c r="G61" i="1" a="1"/>
  <c r="G61" i="1" s="1"/>
  <c r="P60" i="1"/>
  <c r="O60" i="1"/>
  <c r="N60" i="1"/>
  <c r="M60" i="1"/>
  <c r="L60" i="1"/>
  <c r="K60" i="1"/>
  <c r="J60" i="1" a="1"/>
  <c r="J60" i="1" s="1"/>
  <c r="I60" i="1" a="1"/>
  <c r="I60" i="1" s="1"/>
  <c r="H60" i="1" a="1"/>
  <c r="H60" i="1" s="1"/>
  <c r="G60" i="1" a="1"/>
  <c r="G60" i="1" s="1"/>
  <c r="P59" i="1"/>
  <c r="O59" i="1"/>
  <c r="N59" i="1"/>
  <c r="M59" i="1"/>
  <c r="L59" i="1"/>
  <c r="K59" i="1"/>
  <c r="J59" i="1" a="1"/>
  <c r="J59" i="1" s="1"/>
  <c r="I59" i="1" a="1"/>
  <c r="I59" i="1" s="1"/>
  <c r="H59" i="1" a="1"/>
  <c r="H59" i="1" s="1"/>
  <c r="G59" i="1" a="1"/>
  <c r="G59" i="1" s="1"/>
  <c r="P58" i="1"/>
  <c r="O58" i="1"/>
  <c r="N58" i="1"/>
  <c r="M58" i="1"/>
  <c r="L58" i="1"/>
  <c r="K58" i="1"/>
  <c r="J58" i="1" a="1"/>
  <c r="J58" i="1" s="1"/>
  <c r="I58" i="1" a="1"/>
  <c r="I58" i="1" s="1"/>
  <c r="H58" i="1" a="1"/>
  <c r="H58" i="1" s="1"/>
  <c r="G58" i="1" a="1"/>
  <c r="G58" i="1" s="1"/>
  <c r="P57" i="1"/>
  <c r="O57" i="1"/>
  <c r="N57" i="1"/>
  <c r="M57" i="1"/>
  <c r="L57" i="1"/>
  <c r="K57" i="1"/>
  <c r="J57" i="1" a="1"/>
  <c r="J57" i="1" s="1"/>
  <c r="I57" i="1" a="1"/>
  <c r="I57" i="1" s="1"/>
  <c r="H57" i="1" a="1"/>
  <c r="H57" i="1" s="1"/>
  <c r="G57" i="1" a="1"/>
  <c r="G57" i="1" s="1"/>
  <c r="P56" i="1"/>
  <c r="O56" i="1"/>
  <c r="N56" i="1"/>
  <c r="M56" i="1"/>
  <c r="L56" i="1"/>
  <c r="K56" i="1"/>
  <c r="J56" i="1" a="1"/>
  <c r="J56" i="1" s="1"/>
  <c r="I56" i="1" a="1"/>
  <c r="I56" i="1" s="1"/>
  <c r="H56" i="1" a="1"/>
  <c r="H56" i="1" s="1"/>
  <c r="G56" i="1" a="1"/>
  <c r="G56" i="1" s="1"/>
  <c r="P55" i="1"/>
  <c r="O55" i="1"/>
  <c r="N55" i="1"/>
  <c r="M55" i="1"/>
  <c r="L55" i="1"/>
  <c r="K55" i="1"/>
  <c r="J55" i="1" a="1"/>
  <c r="J55" i="1" s="1"/>
  <c r="I55" i="1" a="1"/>
  <c r="I55" i="1" s="1"/>
  <c r="H55" i="1" a="1"/>
  <c r="H55" i="1" s="1"/>
  <c r="G55" i="1" a="1"/>
  <c r="G55" i="1" s="1"/>
  <c r="P54" i="1"/>
  <c r="O54" i="1"/>
  <c r="N54" i="1"/>
  <c r="M54" i="1"/>
  <c r="L54" i="1"/>
  <c r="K54" i="1"/>
  <c r="J54" i="1" a="1"/>
  <c r="J54" i="1" s="1"/>
  <c r="I54" i="1" a="1"/>
  <c r="I54" i="1" s="1"/>
  <c r="H54" i="1" a="1"/>
  <c r="H54" i="1" s="1"/>
  <c r="G54" i="1" a="1"/>
  <c r="G54" i="1" s="1"/>
  <c r="P53" i="1"/>
  <c r="O53" i="1"/>
  <c r="N53" i="1"/>
  <c r="M53" i="1"/>
  <c r="L53" i="1"/>
  <c r="K53" i="1"/>
  <c r="J53" i="1" a="1"/>
  <c r="J53" i="1" s="1"/>
  <c r="I53" i="1" a="1"/>
  <c r="I53" i="1" s="1"/>
  <c r="H53" i="1" a="1"/>
  <c r="H53" i="1" s="1"/>
  <c r="G53" i="1" a="1"/>
  <c r="G53" i="1" s="1"/>
  <c r="P52" i="1"/>
  <c r="O52" i="1"/>
  <c r="N52" i="1"/>
  <c r="M52" i="1"/>
  <c r="L52" i="1"/>
  <c r="K52" i="1"/>
  <c r="J52" i="1" a="1"/>
  <c r="J52" i="1" s="1"/>
  <c r="I52" i="1" a="1"/>
  <c r="I52" i="1" s="1"/>
  <c r="H52" i="1" a="1"/>
  <c r="H52" i="1" s="1"/>
  <c r="G52" i="1" a="1"/>
  <c r="G52" i="1" s="1"/>
  <c r="P51" i="1"/>
  <c r="O51" i="1"/>
  <c r="N51" i="1"/>
  <c r="M51" i="1"/>
  <c r="L51" i="1"/>
  <c r="K51" i="1"/>
  <c r="J51" i="1" a="1"/>
  <c r="J51" i="1" s="1"/>
  <c r="I51" i="1" a="1"/>
  <c r="I51" i="1" s="1"/>
  <c r="H51" i="1" a="1"/>
  <c r="H51" i="1" s="1"/>
  <c r="G51" i="1" a="1"/>
  <c r="G51" i="1" s="1"/>
  <c r="P50" i="1"/>
  <c r="O50" i="1"/>
  <c r="N50" i="1"/>
  <c r="M50" i="1"/>
  <c r="L50" i="1"/>
  <c r="K50" i="1"/>
  <c r="J50" i="1" a="1"/>
  <c r="J50" i="1" s="1"/>
  <c r="I50" i="1" a="1"/>
  <c r="I50" i="1" s="1"/>
  <c r="H50" i="1" a="1"/>
  <c r="H50" i="1" s="1"/>
  <c r="G50" i="1" a="1"/>
  <c r="G50" i="1" s="1"/>
  <c r="P49" i="1"/>
  <c r="O49" i="1"/>
  <c r="N49" i="1"/>
  <c r="M49" i="1"/>
  <c r="L49" i="1"/>
  <c r="K49" i="1"/>
  <c r="J49" i="1" a="1"/>
  <c r="J49" i="1" s="1"/>
  <c r="I49" i="1" a="1"/>
  <c r="I49" i="1" s="1"/>
  <c r="H49" i="1" a="1"/>
  <c r="H49" i="1" s="1"/>
  <c r="G49" i="1" a="1"/>
  <c r="G49" i="1" s="1"/>
  <c r="P48" i="1"/>
  <c r="O48" i="1"/>
  <c r="N48" i="1"/>
  <c r="M48" i="1"/>
  <c r="L48" i="1"/>
  <c r="K48" i="1"/>
  <c r="J48" i="1" a="1"/>
  <c r="J48" i="1" s="1"/>
  <c r="I48" i="1" a="1"/>
  <c r="I48" i="1" s="1"/>
  <c r="H48" i="1" a="1"/>
  <c r="H48" i="1" s="1"/>
  <c r="G48" i="1" a="1"/>
  <c r="G48" i="1" s="1"/>
  <c r="P47" i="1"/>
  <c r="O47" i="1"/>
  <c r="N47" i="1"/>
  <c r="M47" i="1"/>
  <c r="L47" i="1"/>
  <c r="K47" i="1"/>
  <c r="J47" i="1" a="1"/>
  <c r="J47" i="1" s="1"/>
  <c r="I47" i="1" a="1"/>
  <c r="I47" i="1" s="1"/>
  <c r="H47" i="1" a="1"/>
  <c r="H47" i="1" s="1"/>
  <c r="G47" i="1" a="1"/>
  <c r="G47" i="1" s="1"/>
  <c r="P46" i="1"/>
  <c r="O46" i="1"/>
  <c r="N46" i="1"/>
  <c r="M46" i="1"/>
  <c r="L46" i="1"/>
  <c r="K46" i="1"/>
  <c r="J46" i="1" a="1"/>
  <c r="J46" i="1" s="1"/>
  <c r="I46" i="1" a="1"/>
  <c r="I46" i="1" s="1"/>
  <c r="H46" i="1" a="1"/>
  <c r="H46" i="1" s="1"/>
  <c r="G46" i="1" a="1"/>
  <c r="G46" i="1" s="1"/>
  <c r="P45" i="1"/>
  <c r="O45" i="1"/>
  <c r="N45" i="1"/>
  <c r="M45" i="1"/>
  <c r="L45" i="1"/>
  <c r="K45" i="1"/>
  <c r="J45" i="1" a="1"/>
  <c r="J45" i="1" s="1"/>
  <c r="I45" i="1" a="1"/>
  <c r="I45" i="1" s="1"/>
  <c r="H45" i="1" a="1"/>
  <c r="H45" i="1" s="1"/>
  <c r="G45" i="1" a="1"/>
  <c r="G45" i="1" s="1"/>
  <c r="P44" i="1"/>
  <c r="O44" i="1"/>
  <c r="N44" i="1"/>
  <c r="M44" i="1"/>
  <c r="L44" i="1"/>
  <c r="K44" i="1"/>
  <c r="J44" i="1" a="1"/>
  <c r="J44" i="1" s="1"/>
  <c r="I44" i="1" a="1"/>
  <c r="I44" i="1" s="1"/>
  <c r="H44" i="1" a="1"/>
  <c r="H44" i="1" s="1"/>
  <c r="G44" i="1" a="1"/>
  <c r="G44" i="1" s="1"/>
  <c r="P43" i="1"/>
  <c r="O43" i="1"/>
  <c r="N43" i="1"/>
  <c r="M43" i="1"/>
  <c r="L43" i="1"/>
  <c r="K43" i="1"/>
  <c r="J43" i="1" a="1"/>
  <c r="J43" i="1" s="1"/>
  <c r="I43" i="1" a="1"/>
  <c r="I43" i="1" s="1"/>
  <c r="H43" i="1" a="1"/>
  <c r="H43" i="1" s="1"/>
  <c r="G43" i="1" a="1"/>
  <c r="G43" i="1" s="1"/>
  <c r="P42" i="1"/>
  <c r="O42" i="1"/>
  <c r="N42" i="1"/>
  <c r="M42" i="1"/>
  <c r="L42" i="1"/>
  <c r="K42" i="1"/>
  <c r="J42" i="1" a="1"/>
  <c r="J42" i="1" s="1"/>
  <c r="I42" i="1" a="1"/>
  <c r="I42" i="1" s="1"/>
  <c r="H42" i="1" a="1"/>
  <c r="H42" i="1" s="1"/>
  <c r="G42" i="1" a="1"/>
  <c r="G42" i="1" s="1"/>
  <c r="P41" i="1"/>
  <c r="O41" i="1"/>
  <c r="N41" i="1"/>
  <c r="M41" i="1"/>
  <c r="L41" i="1"/>
  <c r="K41" i="1"/>
  <c r="J41" i="1" a="1"/>
  <c r="J41" i="1" s="1"/>
  <c r="I41" i="1" a="1"/>
  <c r="I41" i="1" s="1"/>
  <c r="H41" i="1" a="1"/>
  <c r="H41" i="1" s="1"/>
  <c r="G41" i="1" a="1"/>
  <c r="G41" i="1" s="1"/>
  <c r="P40" i="1"/>
  <c r="O40" i="1"/>
  <c r="N40" i="1"/>
  <c r="M40" i="1"/>
  <c r="L40" i="1"/>
  <c r="K40" i="1"/>
  <c r="J40" i="1" a="1"/>
  <c r="J40" i="1" s="1"/>
  <c r="I40" i="1" a="1"/>
  <c r="I40" i="1" s="1"/>
  <c r="H40" i="1" a="1"/>
  <c r="H40" i="1" s="1"/>
  <c r="G40" i="1" a="1"/>
  <c r="G40" i="1" s="1"/>
  <c r="P39" i="1"/>
  <c r="O39" i="1"/>
  <c r="N39" i="1"/>
  <c r="M39" i="1"/>
  <c r="L39" i="1"/>
  <c r="K39" i="1"/>
  <c r="J39" i="1" a="1"/>
  <c r="J39" i="1" s="1"/>
  <c r="I39" i="1" a="1"/>
  <c r="I39" i="1" s="1"/>
  <c r="H39" i="1" a="1"/>
  <c r="H39" i="1" s="1"/>
  <c r="G39" i="1" a="1"/>
  <c r="G39" i="1" s="1"/>
  <c r="P38" i="1"/>
  <c r="O38" i="1"/>
  <c r="N38" i="1"/>
  <c r="M38" i="1"/>
  <c r="L38" i="1"/>
  <c r="K38" i="1"/>
  <c r="J38" i="1" a="1"/>
  <c r="J38" i="1" s="1"/>
  <c r="I38" i="1" a="1"/>
  <c r="I38" i="1" s="1"/>
  <c r="H38" i="1" a="1"/>
  <c r="H38" i="1" s="1"/>
  <c r="G38" i="1" a="1"/>
  <c r="G38" i="1" s="1"/>
  <c r="P37" i="1"/>
  <c r="O37" i="1"/>
  <c r="N37" i="1"/>
  <c r="M37" i="1"/>
  <c r="L37" i="1"/>
  <c r="K37" i="1"/>
  <c r="J37" i="1" a="1"/>
  <c r="J37" i="1" s="1"/>
  <c r="I37" i="1" a="1"/>
  <c r="I37" i="1" s="1"/>
  <c r="H37" i="1" a="1"/>
  <c r="H37" i="1" s="1"/>
  <c r="G37" i="1" a="1"/>
  <c r="G37" i="1" s="1"/>
  <c r="P36" i="1"/>
  <c r="O36" i="1"/>
  <c r="N36" i="1"/>
  <c r="M36" i="1"/>
  <c r="L36" i="1"/>
  <c r="K36" i="1"/>
  <c r="J36" i="1" a="1"/>
  <c r="J36" i="1" s="1"/>
  <c r="I36" i="1" a="1"/>
  <c r="I36" i="1" s="1"/>
  <c r="H36" i="1" a="1"/>
  <c r="H36" i="1" s="1"/>
  <c r="G36" i="1" a="1"/>
  <c r="G36" i="1" s="1"/>
  <c r="P35" i="1"/>
  <c r="O35" i="1"/>
  <c r="N35" i="1"/>
  <c r="M35" i="1"/>
  <c r="L35" i="1"/>
  <c r="K35" i="1"/>
  <c r="J35" i="1" a="1"/>
  <c r="J35" i="1" s="1"/>
  <c r="I35" i="1" a="1"/>
  <c r="I35" i="1" s="1"/>
  <c r="H35" i="1" a="1"/>
  <c r="H35" i="1" s="1"/>
  <c r="G35" i="1" a="1"/>
  <c r="G35" i="1" s="1"/>
  <c r="P34" i="1"/>
  <c r="O34" i="1"/>
  <c r="N34" i="1"/>
  <c r="M34" i="1"/>
  <c r="L34" i="1"/>
  <c r="K34" i="1"/>
  <c r="J34" i="1" a="1"/>
  <c r="J34" i="1" s="1"/>
  <c r="I34" i="1" a="1"/>
  <c r="I34" i="1" s="1"/>
  <c r="H34" i="1" a="1"/>
  <c r="H34" i="1" s="1"/>
  <c r="G34" i="1" a="1"/>
  <c r="G34" i="1" s="1"/>
  <c r="P33" i="1"/>
  <c r="O33" i="1"/>
  <c r="N33" i="1"/>
  <c r="M33" i="1"/>
  <c r="L33" i="1"/>
  <c r="K33" i="1"/>
  <c r="J33" i="1" a="1"/>
  <c r="J33" i="1" s="1"/>
  <c r="I33" i="1" a="1"/>
  <c r="I33" i="1" s="1"/>
  <c r="H33" i="1" a="1"/>
  <c r="H33" i="1" s="1"/>
  <c r="G33" i="1" a="1"/>
  <c r="G33" i="1" s="1"/>
  <c r="P32" i="1"/>
  <c r="O32" i="1"/>
  <c r="N32" i="1"/>
  <c r="M32" i="1"/>
  <c r="L32" i="1"/>
  <c r="K32" i="1"/>
  <c r="J32" i="1" a="1"/>
  <c r="J32" i="1" s="1"/>
  <c r="I32" i="1" a="1"/>
  <c r="I32" i="1" s="1"/>
  <c r="H32" i="1" a="1"/>
  <c r="H32" i="1" s="1"/>
  <c r="G32" i="1" a="1"/>
  <c r="G32" i="1" s="1"/>
  <c r="P31" i="1"/>
  <c r="O31" i="1"/>
  <c r="N31" i="1"/>
  <c r="M31" i="1"/>
  <c r="L31" i="1"/>
  <c r="K31" i="1"/>
  <c r="J31" i="1" a="1"/>
  <c r="J31" i="1" s="1"/>
  <c r="I31" i="1" a="1"/>
  <c r="I31" i="1" s="1"/>
  <c r="H31" i="1" a="1"/>
  <c r="H31" i="1" s="1"/>
  <c r="G31" i="1" a="1"/>
  <c r="G31" i="1" s="1"/>
  <c r="P30" i="1"/>
  <c r="O30" i="1"/>
  <c r="N30" i="1"/>
  <c r="M30" i="1"/>
  <c r="L30" i="1"/>
  <c r="K30" i="1"/>
  <c r="J30" i="1" a="1"/>
  <c r="J30" i="1" s="1"/>
  <c r="I30" i="1" a="1"/>
  <c r="I30" i="1" s="1"/>
  <c r="H30" i="1" a="1"/>
  <c r="H30" i="1" s="1"/>
  <c r="G30" i="1" a="1"/>
  <c r="G30" i="1" s="1"/>
  <c r="P29" i="1"/>
  <c r="O29" i="1"/>
  <c r="N29" i="1"/>
  <c r="M29" i="1"/>
  <c r="L29" i="1"/>
  <c r="K29" i="1"/>
  <c r="J29" i="1" a="1"/>
  <c r="J29" i="1" s="1"/>
  <c r="I29" i="1" a="1"/>
  <c r="I29" i="1" s="1"/>
  <c r="H29" i="1" a="1"/>
  <c r="H29" i="1" s="1"/>
  <c r="G29" i="1" a="1"/>
  <c r="G29" i="1" s="1"/>
  <c r="P28" i="1"/>
  <c r="O28" i="1"/>
  <c r="N28" i="1"/>
  <c r="M28" i="1"/>
  <c r="L28" i="1"/>
  <c r="K28" i="1"/>
  <c r="J28" i="1" a="1"/>
  <c r="J28" i="1" s="1"/>
  <c r="I28" i="1" a="1"/>
  <c r="I28" i="1" s="1"/>
  <c r="H28" i="1" a="1"/>
  <c r="H28" i="1" s="1"/>
  <c r="G28" i="1" a="1"/>
  <c r="G28" i="1" s="1"/>
  <c r="P27" i="1"/>
  <c r="O27" i="1"/>
  <c r="N27" i="1"/>
  <c r="M27" i="1"/>
  <c r="L27" i="1"/>
  <c r="K27" i="1"/>
  <c r="J27" i="1" a="1"/>
  <c r="J27" i="1" s="1"/>
  <c r="I27" i="1" a="1"/>
  <c r="I27" i="1" s="1"/>
  <c r="H27" i="1" a="1"/>
  <c r="H27" i="1" s="1"/>
  <c r="G27" i="1" a="1"/>
  <c r="G27" i="1" s="1"/>
  <c r="P26" i="1"/>
  <c r="O26" i="1"/>
  <c r="N26" i="1"/>
  <c r="M26" i="1"/>
  <c r="L26" i="1"/>
  <c r="K26" i="1"/>
  <c r="J26" i="1" a="1"/>
  <c r="J26" i="1" s="1"/>
  <c r="I26" i="1" a="1"/>
  <c r="I26" i="1" s="1"/>
  <c r="H26" i="1" a="1"/>
  <c r="H26" i="1" s="1"/>
  <c r="G26" i="1" a="1"/>
  <c r="G26" i="1" s="1"/>
  <c r="P25" i="1"/>
  <c r="O25" i="1"/>
  <c r="N25" i="1"/>
  <c r="M25" i="1"/>
  <c r="L25" i="1"/>
  <c r="K25" i="1"/>
  <c r="J25" i="1" a="1"/>
  <c r="J25" i="1" s="1"/>
  <c r="I25" i="1" a="1"/>
  <c r="I25" i="1" s="1"/>
  <c r="H25" i="1" a="1"/>
  <c r="H25" i="1" s="1"/>
  <c r="G25" i="1" a="1"/>
  <c r="G25" i="1" s="1"/>
  <c r="P24" i="1"/>
  <c r="O24" i="1"/>
  <c r="N24" i="1"/>
  <c r="M24" i="1"/>
  <c r="L24" i="1"/>
  <c r="K24" i="1"/>
  <c r="J24" i="1" a="1"/>
  <c r="J24" i="1" s="1"/>
  <c r="I24" i="1" a="1"/>
  <c r="I24" i="1" s="1"/>
  <c r="H24" i="1" a="1"/>
  <c r="H24" i="1" s="1"/>
  <c r="G24" i="1" a="1"/>
  <c r="G24" i="1" s="1"/>
  <c r="P23" i="1"/>
  <c r="O23" i="1"/>
  <c r="N23" i="1"/>
  <c r="M23" i="1"/>
  <c r="L23" i="1"/>
  <c r="K23" i="1"/>
  <c r="J23" i="1" a="1"/>
  <c r="J23" i="1" s="1"/>
  <c r="I23" i="1" a="1"/>
  <c r="I23" i="1" s="1"/>
  <c r="H23" i="1" a="1"/>
  <c r="H23" i="1" s="1"/>
  <c r="G23" i="1" a="1"/>
  <c r="G23" i="1" s="1"/>
  <c r="P22" i="1"/>
  <c r="O22" i="1"/>
  <c r="N22" i="1"/>
  <c r="M22" i="1"/>
  <c r="L22" i="1"/>
  <c r="K22" i="1"/>
  <c r="J22" i="1" a="1"/>
  <c r="J22" i="1" s="1"/>
  <c r="I22" i="1" a="1"/>
  <c r="I22" i="1" s="1"/>
  <c r="H22" i="1" a="1"/>
  <c r="H22" i="1" s="1"/>
  <c r="G22" i="1" a="1"/>
  <c r="G22" i="1" s="1"/>
  <c r="P21" i="1"/>
  <c r="O21" i="1"/>
  <c r="N21" i="1"/>
  <c r="M21" i="1"/>
  <c r="L21" i="1"/>
  <c r="K21" i="1"/>
  <c r="J21" i="1" a="1"/>
  <c r="J21" i="1" s="1"/>
  <c r="I21" i="1" a="1"/>
  <c r="I21" i="1" s="1"/>
  <c r="H21" i="1" a="1"/>
  <c r="H21" i="1" s="1"/>
  <c r="G21" i="1" a="1"/>
  <c r="G21" i="1" s="1"/>
  <c r="P20" i="1"/>
  <c r="O20" i="1"/>
  <c r="N20" i="1"/>
  <c r="M20" i="1"/>
  <c r="L20" i="1"/>
  <c r="K20" i="1"/>
  <c r="J20" i="1" a="1"/>
  <c r="J20" i="1" s="1"/>
  <c r="I20" i="1" a="1"/>
  <c r="I20" i="1" s="1"/>
  <c r="H20" i="1" a="1"/>
  <c r="H20" i="1" s="1"/>
  <c r="G20" i="1" a="1"/>
  <c r="G20" i="1" s="1"/>
  <c r="P19" i="1"/>
  <c r="O19" i="1"/>
  <c r="N19" i="1"/>
  <c r="M19" i="1"/>
  <c r="L19" i="1"/>
  <c r="K19" i="1"/>
  <c r="J19" i="1" a="1"/>
  <c r="J19" i="1" s="1"/>
  <c r="I19" i="1" a="1"/>
  <c r="I19" i="1" s="1"/>
  <c r="H19" i="1" a="1"/>
  <c r="H19" i="1" s="1"/>
  <c r="G19" i="1" a="1"/>
  <c r="G19" i="1" s="1"/>
  <c r="P18" i="1"/>
  <c r="O18" i="1"/>
  <c r="N18" i="1"/>
  <c r="M18" i="1"/>
  <c r="L18" i="1"/>
  <c r="K18" i="1"/>
  <c r="J18" i="1" a="1"/>
  <c r="J18" i="1" s="1"/>
  <c r="I18" i="1" a="1"/>
  <c r="I18" i="1" s="1"/>
  <c r="H18" i="1" a="1"/>
  <c r="H18" i="1" s="1"/>
  <c r="G18" i="1" a="1"/>
  <c r="G18" i="1" s="1"/>
  <c r="P17" i="1"/>
  <c r="O17" i="1"/>
  <c r="N17" i="1"/>
  <c r="M17" i="1"/>
  <c r="L17" i="1"/>
  <c r="K17" i="1"/>
  <c r="J17" i="1" a="1"/>
  <c r="J17" i="1" s="1"/>
  <c r="I17" i="1" a="1"/>
  <c r="I17" i="1" s="1"/>
  <c r="H17" i="1" a="1"/>
  <c r="H17" i="1" s="1"/>
  <c r="G17" i="1" a="1"/>
  <c r="G17" i="1" s="1"/>
  <c r="P16" i="1"/>
  <c r="O16" i="1"/>
  <c r="N16" i="1"/>
  <c r="M16" i="1"/>
  <c r="L16" i="1"/>
  <c r="K16" i="1"/>
  <c r="J16" i="1" a="1"/>
  <c r="J16" i="1" s="1"/>
  <c r="I16" i="1" a="1"/>
  <c r="I16" i="1" s="1"/>
  <c r="H16" i="1" a="1"/>
  <c r="H16" i="1" s="1"/>
  <c r="G16" i="1" a="1"/>
  <c r="G16" i="1" s="1"/>
  <c r="P15" i="1"/>
  <c r="O15" i="1"/>
  <c r="N15" i="1"/>
  <c r="M15" i="1"/>
  <c r="L15" i="1"/>
  <c r="K15" i="1"/>
  <c r="J15" i="1" a="1"/>
  <c r="J15" i="1" s="1"/>
  <c r="I15" i="1" a="1"/>
  <c r="I15" i="1" s="1"/>
  <c r="H15" i="1" a="1"/>
  <c r="H15" i="1" s="1"/>
  <c r="G15" i="1" a="1"/>
  <c r="G15" i="1" s="1"/>
  <c r="P14" i="1"/>
  <c r="O14" i="1"/>
  <c r="N14" i="1"/>
  <c r="M14" i="1"/>
  <c r="L14" i="1"/>
  <c r="K14" i="1"/>
  <c r="J14" i="1" a="1"/>
  <c r="J14" i="1" s="1"/>
  <c r="I14" i="1" a="1"/>
  <c r="I14" i="1" s="1"/>
  <c r="H14" i="1" a="1"/>
  <c r="H14" i="1" s="1"/>
  <c r="G14" i="1" a="1"/>
  <c r="G14" i="1" s="1"/>
  <c r="P13" i="1"/>
  <c r="O13" i="1"/>
  <c r="N13" i="1"/>
  <c r="M13" i="1"/>
  <c r="L13" i="1"/>
  <c r="K13" i="1"/>
  <c r="J13" i="1" a="1"/>
  <c r="J13" i="1" s="1"/>
  <c r="I13" i="1" a="1"/>
  <c r="I13" i="1" s="1"/>
  <c r="H13" i="1" a="1"/>
  <c r="H13" i="1" s="1"/>
  <c r="G13" i="1" a="1"/>
  <c r="G13" i="1" s="1"/>
  <c r="P12" i="1"/>
  <c r="O12" i="1"/>
  <c r="N12" i="1"/>
  <c r="M12" i="1"/>
  <c r="L12" i="1"/>
  <c r="K12" i="1"/>
  <c r="J12" i="1" a="1"/>
  <c r="J12" i="1" s="1"/>
  <c r="I12" i="1" a="1"/>
  <c r="I12" i="1" s="1"/>
  <c r="H12" i="1" a="1"/>
  <c r="H12" i="1" s="1"/>
  <c r="G12" i="1" a="1"/>
  <c r="G12" i="1" s="1"/>
  <c r="P11" i="1"/>
  <c r="O11" i="1"/>
  <c r="N11" i="1"/>
  <c r="M11" i="1"/>
  <c r="L11" i="1"/>
  <c r="K11" i="1"/>
  <c r="J11" i="1" a="1"/>
  <c r="J11" i="1" s="1"/>
  <c r="I11" i="1" a="1"/>
  <c r="I11" i="1" s="1"/>
  <c r="H11" i="1" a="1"/>
  <c r="H11" i="1" s="1"/>
  <c r="G11" i="1" a="1"/>
  <c r="G11" i="1" s="1"/>
  <c r="P10" i="1"/>
  <c r="O10" i="1"/>
  <c r="N10" i="1"/>
  <c r="M10" i="1"/>
  <c r="L10" i="1"/>
  <c r="K10" i="1"/>
  <c r="J10" i="1" a="1"/>
  <c r="J10" i="1" s="1"/>
  <c r="I10" i="1" a="1"/>
  <c r="I10" i="1" s="1"/>
  <c r="H10" i="1" a="1"/>
  <c r="H10" i="1" s="1"/>
  <c r="G10" i="1" a="1"/>
  <c r="G10" i="1" s="1"/>
  <c r="P9" i="1"/>
  <c r="O9" i="1"/>
  <c r="N9" i="1"/>
  <c r="M9" i="1"/>
  <c r="L9" i="1"/>
  <c r="K9" i="1"/>
  <c r="J9" i="1" a="1"/>
  <c r="J9" i="1" s="1"/>
  <c r="I9" i="1" a="1"/>
  <c r="I9" i="1" s="1"/>
  <c r="H9" i="1" a="1"/>
  <c r="H9" i="1" s="1"/>
  <c r="G9" i="1" a="1"/>
  <c r="G9" i="1" s="1"/>
  <c r="P8" i="1"/>
  <c r="O8" i="1"/>
  <c r="N8" i="1"/>
  <c r="M8" i="1"/>
  <c r="L8" i="1"/>
  <c r="K8" i="1"/>
  <c r="J8" i="1" a="1"/>
  <c r="J8" i="1" s="1"/>
  <c r="I8" i="1" a="1"/>
  <c r="I8" i="1" s="1"/>
  <c r="H8" i="1" a="1"/>
  <c r="H8" i="1" s="1"/>
  <c r="G8" i="1" a="1"/>
  <c r="G8" i="1" s="1"/>
  <c r="P7" i="1"/>
  <c r="O7" i="1"/>
  <c r="N7" i="1"/>
  <c r="M7" i="1"/>
  <c r="L7" i="1"/>
  <c r="K7" i="1"/>
  <c r="J7" i="1" a="1"/>
  <c r="J7" i="1" s="1"/>
  <c r="I7" i="1" a="1"/>
  <c r="I7" i="1" s="1"/>
  <c r="H7" i="1" a="1"/>
  <c r="H7" i="1" s="1"/>
  <c r="G7" i="1" a="1"/>
  <c r="G7" i="1" s="1"/>
  <c r="P6" i="1"/>
  <c r="O6" i="1"/>
  <c r="N6" i="1"/>
  <c r="M6" i="1"/>
  <c r="L6" i="1"/>
  <c r="K6" i="1"/>
  <c r="J6" i="1" a="1"/>
  <c r="J6" i="1" s="1"/>
  <c r="I6" i="1" a="1"/>
  <c r="I6" i="1" s="1"/>
  <c r="H6" i="1" a="1"/>
  <c r="H6" i="1" s="1"/>
  <c r="G6" i="1" a="1"/>
  <c r="G6" i="1" s="1"/>
  <c r="P5" i="1"/>
  <c r="O5" i="1"/>
  <c r="N5" i="1"/>
  <c r="M5" i="1"/>
  <c r="L5" i="1"/>
  <c r="K5" i="1"/>
  <c r="J5" i="1" a="1"/>
  <c r="J5" i="1" s="1"/>
  <c r="I5" i="1" a="1"/>
  <c r="I5" i="1" s="1"/>
  <c r="H5" i="1" a="1"/>
  <c r="H5" i="1" s="1"/>
  <c r="G5" i="1" a="1"/>
  <c r="G5" i="1" s="1"/>
  <c r="P4" i="1"/>
  <c r="O4" i="1"/>
  <c r="N4" i="1"/>
  <c r="M4" i="1"/>
  <c r="L4" i="1"/>
  <c r="K4" i="1"/>
  <c r="J4" i="1" a="1"/>
  <c r="J4" i="1" s="1"/>
  <c r="I4" i="1"/>
  <c r="I4" i="1" a="1"/>
  <c r="H4" i="1" a="1"/>
  <c r="H4" i="1" s="1"/>
  <c r="G4" i="1" a="1"/>
  <c r="G4" i="1" s="1"/>
  <c r="P3" i="1"/>
  <c r="O3" i="1"/>
  <c r="N3" i="1"/>
  <c r="M3" i="1"/>
  <c r="L3" i="1"/>
  <c r="K3" i="1"/>
  <c r="J3" i="1" a="1"/>
  <c r="J3" i="1" s="1"/>
  <c r="I3" i="1" a="1"/>
  <c r="I3" i="1" s="1"/>
  <c r="H3" i="1" a="1"/>
  <c r="H3" i="1" s="1"/>
  <c r="G3" i="1" a="1"/>
  <c r="G3" i="1" s="1"/>
  <c r="P2" i="1"/>
  <c r="O2" i="1"/>
  <c r="N2" i="1"/>
  <c r="M2" i="1"/>
  <c r="L2" i="1"/>
  <c r="K2" i="1"/>
  <c r="J2" i="1" a="1"/>
  <c r="J2" i="1" s="1"/>
  <c r="I2" i="1" a="1"/>
  <c r="I2" i="1" s="1"/>
  <c r="H2" i="1" a="1"/>
  <c r="H2" i="1" s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<sst xmlns="http://schemas.openxmlformats.org/spreadsheetml/2006/main" count="299" uniqueCount="142">
  <si>
    <t>Date</t>
  </si>
  <si>
    <t>Partenaire Audité
(Directeurs / Présidents)</t>
  </si>
  <si>
    <t>Lieu RD / Club
(Ville / Nom du club)</t>
  </si>
  <si>
    <t>Auditeur</t>
  </si>
  <si>
    <t>Type
Evenement</t>
  </si>
  <si>
    <t>Note</t>
  </si>
  <si>
    <t>Prime Cédric</t>
  </si>
  <si>
    <t>Prime Geoffroy</t>
  </si>
  <si>
    <t>Prime Tiphaine</t>
  </si>
  <si>
    <t>Prime Catherine2</t>
  </si>
  <si>
    <t>Versement Prime</t>
  </si>
  <si>
    <t>Filtre
TCD</t>
  </si>
  <si>
    <t>Émilie BLAISE</t>
  </si>
  <si>
    <t>Troyes</t>
  </si>
  <si>
    <t>Cédric</t>
  </si>
  <si>
    <t>RD Présentiel</t>
  </si>
  <si>
    <t>Marine DELPUECH</t>
  </si>
  <si>
    <t>Lyon</t>
  </si>
  <si>
    <t>RD Distanciel</t>
  </si>
  <si>
    <t>François BOUDALIEZ</t>
  </si>
  <si>
    <t>Lille</t>
  </si>
  <si>
    <t>RDV Commercial</t>
  </si>
  <si>
    <t>Stella MASSON</t>
  </si>
  <si>
    <t>Maisons-Laffitte</t>
  </si>
  <si>
    <t>Francine HEIDELBERGER-SCHWAB</t>
  </si>
  <si>
    <t>Bas-Rhin</t>
  </si>
  <si>
    <t>Troyes Club BTP</t>
  </si>
  <si>
    <t>Club Affaires</t>
  </si>
  <si>
    <t>Julie MARCHAL</t>
  </si>
  <si>
    <t xml:space="preserve">Team Business Up Troyes  </t>
  </si>
  <si>
    <t>Frédéric ANDORRA</t>
  </si>
  <si>
    <t xml:space="preserve">Le Cep Ange ´Vin  </t>
  </si>
  <si>
    <t>Catherine</t>
  </si>
  <si>
    <t>Laurence FAVIER</t>
  </si>
  <si>
    <t xml:space="preserve">Pont-À-Mousson  </t>
  </si>
  <si>
    <t>Lydie STEPHEN</t>
  </si>
  <si>
    <t>Verdun</t>
  </si>
  <si>
    <t>Anatole HEIDELBERGER</t>
  </si>
  <si>
    <t>Alsace Bossue</t>
  </si>
  <si>
    <t>Céline MARCELIN</t>
  </si>
  <si>
    <t xml:space="preserve">La Mossig  </t>
  </si>
  <si>
    <t>Sandrine CUPERLIER</t>
  </si>
  <si>
    <t>Vierzon</t>
  </si>
  <si>
    <t>Laurent MARINIER</t>
  </si>
  <si>
    <t>Fleury-les-Aubrais</t>
  </si>
  <si>
    <t>Valérie CHABRIÉ</t>
  </si>
  <si>
    <t xml:space="preserve">Du Bocage Vendéen  </t>
  </si>
  <si>
    <t>Eric WENDLING</t>
  </si>
  <si>
    <t xml:space="preserve">Schiltigheim  </t>
  </si>
  <si>
    <t>Hervé KUDADZÉ</t>
  </si>
  <si>
    <t xml:space="preserve">Strasbourg - La Wantzenau  </t>
  </si>
  <si>
    <t>Sarrebourg</t>
  </si>
  <si>
    <t>Virginie SITZ</t>
  </si>
  <si>
    <t xml:space="preserve">Erckmann-Chatrian  </t>
  </si>
  <si>
    <t>Magali AUDIBERT</t>
  </si>
  <si>
    <t>Montmorency</t>
  </si>
  <si>
    <t>Amelie GONÇALVES</t>
  </si>
  <si>
    <t>Chambourcy</t>
  </si>
  <si>
    <t>Audrey LEPICOUCHE</t>
  </si>
  <si>
    <t>L' Isle-Adam</t>
  </si>
  <si>
    <t>Alexandre ALVES</t>
  </si>
  <si>
    <t>Domont</t>
  </si>
  <si>
    <t>Noura LEFEVRE &amp; Alexandra ÉPINOUX</t>
  </si>
  <si>
    <t>Saint-Germain</t>
  </si>
  <si>
    <t>Jean-François LAPIERRE</t>
  </si>
  <si>
    <t>Amiens</t>
  </si>
  <si>
    <t>Franck TRUPIN</t>
  </si>
  <si>
    <t>Arques</t>
  </si>
  <si>
    <t xml:space="preserve">Marquise  </t>
  </si>
  <si>
    <t>Dunkerque</t>
  </si>
  <si>
    <t xml:space="preserve">Le Cep Anjoué  </t>
  </si>
  <si>
    <t>Erika DALLEAU</t>
  </si>
  <si>
    <t>Pontoise</t>
  </si>
  <si>
    <t>Nadia EL MELIANI</t>
  </si>
  <si>
    <t>Paris 19e – Buttes-Chaumont</t>
  </si>
  <si>
    <t xml:space="preserve">Elancourt Dyna'Immo  </t>
  </si>
  <si>
    <t>Olivier GUIGNARD</t>
  </si>
  <si>
    <t>Boulogne-Billancourt</t>
  </si>
  <si>
    <t>Paris 16e – Passy</t>
  </si>
  <si>
    <t>Versailles</t>
  </si>
  <si>
    <t>Cécile GUET</t>
  </si>
  <si>
    <t>Châteauneuf-sur-Loire</t>
  </si>
  <si>
    <t>Sébastien FERNANDEZ &amp; Henrique MARTINS</t>
  </si>
  <si>
    <t>Montigny-le-Bretonneux</t>
  </si>
  <si>
    <t>Cedrick JAMBEZ</t>
  </si>
  <si>
    <t>Buchelay</t>
  </si>
  <si>
    <t>Lucie DELRUE-VEIGA</t>
  </si>
  <si>
    <t>Douai</t>
  </si>
  <si>
    <t>Arnaud MERCHEZ</t>
  </si>
  <si>
    <t xml:space="preserve">Bethune  </t>
  </si>
  <si>
    <t>Arnaud BARBE</t>
  </si>
  <si>
    <t>Geoffroy</t>
  </si>
  <si>
    <t>Bruno COCHEN</t>
  </si>
  <si>
    <t>Daniel GIRARD</t>
  </si>
  <si>
    <t>Chartres</t>
  </si>
  <si>
    <t>Christophe MARTIN</t>
  </si>
  <si>
    <t>Toulouse</t>
  </si>
  <si>
    <t>Dreux</t>
  </si>
  <si>
    <t>Aurélie et Jean-Luc SOUBIROU</t>
  </si>
  <si>
    <t>Orléans</t>
  </si>
  <si>
    <t>Virginie HARITONIDES</t>
  </si>
  <si>
    <t>Romorantin-Lanthenay</t>
  </si>
  <si>
    <t>Rachelle VILLETTE</t>
  </si>
  <si>
    <t>Déols</t>
  </si>
  <si>
    <t>Claire RAYNAL</t>
  </si>
  <si>
    <t>Albi</t>
  </si>
  <si>
    <t>Thomas VOISIN</t>
  </si>
  <si>
    <t>Mont-Saint-Aignan</t>
  </si>
  <si>
    <t>Alain GESBERT</t>
  </si>
  <si>
    <t>Honfleur</t>
  </si>
  <si>
    <t>Nathalie LEBAS</t>
  </si>
  <si>
    <t>Cabourg</t>
  </si>
  <si>
    <t>Cédric LE VALLOIS</t>
  </si>
  <si>
    <t xml:space="preserve">Varar Dynaclub Centre Manche  </t>
  </si>
  <si>
    <t xml:space="preserve">Le Varar Dynaclub Calvados  </t>
  </si>
  <si>
    <t>Michel MAZINGUE</t>
  </si>
  <si>
    <t>Vitry-en-Artois</t>
  </si>
  <si>
    <t>Cedric BRULANT</t>
  </si>
  <si>
    <t xml:space="preserve">Pays De Mormal  </t>
  </si>
  <si>
    <t xml:space="preserve">Tourcoing Union  </t>
  </si>
  <si>
    <t xml:space="preserve">Le Cateau / Caudry  </t>
  </si>
  <si>
    <t xml:space="preserve">Ostrevent  </t>
  </si>
  <si>
    <t>Laurence THUILLIER</t>
  </si>
  <si>
    <t xml:space="preserve">Dynabuy Club Affaire Chartres Ambition  </t>
  </si>
  <si>
    <t>Thomas MARCETTEAU</t>
  </si>
  <si>
    <t>Rouen</t>
  </si>
  <si>
    <t>Thomas BERNE</t>
  </si>
  <si>
    <t>Saint-Lô</t>
  </si>
  <si>
    <t>Cécilia JEANSON</t>
  </si>
  <si>
    <t>Nombre de visite
Partenaire &gt; Cédric</t>
  </si>
  <si>
    <t>Nombre de visite
Partenaire &gt; Geoffroy</t>
  </si>
  <si>
    <t>Nombre de visite
Partenaire &gt; Tiphaine</t>
  </si>
  <si>
    <t>Nombre de visite
Partenaire &gt; Catherine</t>
  </si>
  <si>
    <t>Palier 1</t>
  </si>
  <si>
    <t>Palier 2</t>
  </si>
  <si>
    <t>Palier 3</t>
  </si>
  <si>
    <t>Cédric MALZAT</t>
  </si>
  <si>
    <t>Geoffroy L'HONNEN</t>
  </si>
  <si>
    <t>Tiphaine LEMAITRE</t>
  </si>
  <si>
    <t>Catherine PASSE</t>
  </si>
  <si>
    <t>Total équipe</t>
  </si>
  <si>
    <t>Objectif Audit / Collaborateur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</si>
</sst>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;@"/>
    <numFmt numFmtId="165" formatCode="dd/mm"/>
    <numFmt numFmtId="166" formatCode="#,##0\ &quot;€&quot;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Roboto"/>
    </font>
    <font>
      <i/>
      <sz val="11"/>
      <color theme="1"/>
      <name val="Roboto"/>
    </font>
    <font>
      <sz val="11"/>
      <color theme="1"/>
      <name val="Roboto"/>
    </font>
    <font>
      <sz val="11"/>
      <color rgb="FF2E2E2E"/>
      <name val="__Roboto_6a21cc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E454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66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6" fontId="3" fillId="0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left" vertical="center"/>
    </xf>
    <xf numFmtId="0" fontId="4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0" fontId="0" fillId="0" borderId="3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40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CC00"/>
        </patternFill>
      </fill>
    </dxf>
    <dxf>
      <font>
        <color theme="0"/>
      </font>
      <fill>
        <patternFill>
          <bgColor rgb="FF5BBCB9"/>
        </patternFill>
      </fill>
    </dxf>
    <dxf>
      <font>
        <color theme="0"/>
      </font>
      <fill>
        <patternFill>
          <bgColor rgb="FFEE4540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rgb="FFCAB7F3"/>
        </patternFill>
      </fill>
    </dxf>
    <dxf>
      <font>
        <color theme="8" tint="-0.24994659260841701"/>
      </font>
      <fill>
        <patternFill>
          <bgColor rgb="FFB5E1E0"/>
        </patternFill>
      </fill>
    </dxf>
    <dxf>
      <font>
        <color theme="9" tint="-0.499984740745262"/>
      </font>
      <fill>
        <patternFill>
          <fgColor theme="9" tint="-0.499984740745262"/>
          <bgColor theme="9" tint="0.59996337778862885"/>
        </patternFill>
      </fill>
    </dxf>
    <dxf>
      <font>
        <color theme="5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66" formatCode="#,##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66" formatCode="#,##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66" formatCode="#,##0\ &quot;€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66" formatCode="#,##0\ &quot;€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alignment horizontal="left" vertical="center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165" formatCode="dd/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Roboto"/>
        <scheme val="none"/>
      </font>
    </dxf>
    <dxf>
      <font>
        <b/>
        <strike val="0"/>
        <outline val="0"/>
        <shadow val="0"/>
        <u val="none"/>
        <vertAlign val="baseline"/>
        <sz val="11"/>
        <color theme="0"/>
        <name val="Roboto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m3leoN\Desktop\SUIVI%20AUDITS%202026.xlsx" TargetMode="External"/><Relationship Id="rId1" Type="http://schemas.openxmlformats.org/officeDocument/2006/relationships/externalLinkPath" Target="SUIVI%20AUDIT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PRIMES"/>
      <sheetName val="TAB"/>
      <sheetName val="AUDITS"/>
      <sheetName val="TOP 10 CA"/>
      <sheetName val="TOP 10 RD"/>
      <sheetName val="TOP 10 DIST."/>
      <sheetName val="REPARTITIONS"/>
    </sheetNames>
    <sheetDataSet>
      <sheetData sheetId="0">
        <row r="1">
          <cell r="A1" t="str">
            <v>PRIME
1ER AUDIT</v>
          </cell>
          <cell r="B1" t="str">
            <v>PRIME DES
LE 2ND AUDIT</v>
          </cell>
          <cell r="C1" t="str">
            <v>PRIME DES
3 AUDITS ET +</v>
          </cell>
          <cell r="D1" t="str">
            <v>TYPES</v>
          </cell>
        </row>
        <row r="3">
          <cell r="A3">
            <v>75</v>
          </cell>
          <cell r="B3">
            <v>10</v>
          </cell>
          <cell r="C3">
            <v>0</v>
          </cell>
          <cell r="D3" t="str">
            <v>Club Affaires</v>
          </cell>
        </row>
        <row r="4">
          <cell r="A4">
            <v>75</v>
          </cell>
          <cell r="B4">
            <v>10</v>
          </cell>
          <cell r="C4">
            <v>0</v>
          </cell>
          <cell r="D4" t="str">
            <v>RD Présentiel</v>
          </cell>
        </row>
        <row r="5">
          <cell r="A5">
            <v>10</v>
          </cell>
          <cell r="B5">
            <v>5</v>
          </cell>
          <cell r="C5">
            <v>0</v>
          </cell>
          <cell r="D5" t="str">
            <v>RD Distanciel</v>
          </cell>
        </row>
        <row r="6">
          <cell r="A6">
            <v>75</v>
          </cell>
          <cell r="B6">
            <v>10</v>
          </cell>
          <cell r="C6">
            <v>0</v>
          </cell>
          <cell r="D6" t="str">
            <v>RD Évènementiel</v>
          </cell>
        </row>
        <row r="7">
          <cell r="A7">
            <v>75</v>
          </cell>
          <cell r="B7">
            <v>10</v>
          </cell>
          <cell r="C7">
            <v>0</v>
          </cell>
          <cell r="D7" t="str">
            <v>RD Repas</v>
          </cell>
        </row>
        <row r="8">
          <cell r="A8">
            <v>75</v>
          </cell>
          <cell r="B8">
            <v>10</v>
          </cell>
          <cell r="C8">
            <v>0</v>
          </cell>
          <cell r="D8" t="str">
            <v>RD Loisirs</v>
          </cell>
        </row>
        <row r="9">
          <cell r="A9">
            <v>75</v>
          </cell>
          <cell r="B9">
            <v>10</v>
          </cell>
          <cell r="C9">
            <v>0</v>
          </cell>
          <cell r="D9" t="str">
            <v>RD Conférénce</v>
          </cell>
        </row>
        <row r="11">
          <cell r="A11">
            <v>75</v>
          </cell>
          <cell r="B11">
            <v>10</v>
          </cell>
          <cell r="C11">
            <v>0</v>
          </cell>
          <cell r="D11" t="str">
            <v>RDV Commercial</v>
          </cell>
        </row>
        <row r="12">
          <cell r="A12">
            <v>75</v>
          </cell>
          <cell r="B12">
            <v>10</v>
          </cell>
          <cell r="C12">
            <v>0</v>
          </cell>
          <cell r="D12" t="str">
            <v>Mise En Place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E6300-9748-4E52-9ACF-EF64C0EB4A98}" name="TableauAudits" displayName="TableauAudits" ref="A1:P175" totalsRowShown="0" headerRowDxfId="39" dataDxfId="38" headerRowBorderDxfId="36" tableBorderDxfId="37" totalsRowBorderDxfId="35">
  <autoFilter ref="A1:P175" xr:uid="{67FE6300-9748-4E52-9ACF-EF64C0EB4A98}"/>
  <sortState xmlns:xlrd2="http://schemas.microsoft.com/office/spreadsheetml/2017/richdata2" ref="A2:P175">
    <sortCondition ref="A1:A175"/>
  </sortState>
  <tableColumns count="16">
    <tableColumn id="8" xr3:uid="{832D1F52-E1E1-457D-8F0A-8922EC0EE2D8}" name="Date" dataDxfId="33" totalsRowDxfId="34"/>
    <tableColumn id="2" xr3:uid="{9921D8B1-085C-4263-8380-9F51D8B82F16}" name="Partenaire Audité_x000a_(Directeurs / Présidents)" dataDxfId="31" totalsRowDxfId="32"/>
    <tableColumn id="1" xr3:uid="{F273CA27-8C70-4CA8-80B1-490C8939BFFB}" name="Lieu RD / Club_x000a_(Ville / Nom du club)" dataDxfId="29" totalsRowDxfId="30"/>
    <tableColumn id="3" xr3:uid="{8EBC33EA-C553-4556-848F-6B23F8010B3D}" name="Auditeur" dataDxfId="27" totalsRowDxfId="28"/>
    <tableColumn id="4" xr3:uid="{CFA54F7C-1729-44F2-BA3B-F4FD8CBA17BA}" name="Type_x000a_Evenement" dataDxfId="25" totalsRowDxfId="26"/>
    <tableColumn id="9" xr3:uid="{E18941A6-B4B9-4966-9FC7-82749CF66E02}" name="Note" dataDxfId="23" totalsRowDxfId="24"/>
    <tableColumn id="43" xr3:uid="{5B5E56EF-8DB4-46C4-B777-58F7051EF72C}" name="Nombre de visite_x000a_Partenaire &gt; Cédric" dataDxfId="22">
      <calculatedColumnFormula array="1">IFERROR(
  IF(D2&lt;&gt;"Cédric",
     0,
     SUMPRODUCT(
       (TRIM(SUBSTITUTE(UPPER($B$2:$B2),CHAR(160),""))=TRIM(SUBSTITUTE(UPPER(B2),CHAR(160),"")))*
       (TRIM(SUBSTITUTE(UPPER($C$2:$C2),CHAR(160),""))=TRIM(SUBSTITUTE(UPPER(C2),CHAR(160),"")))*
       (TRIM(SUBSTITUTE(UPPER($D$2:$D2),CHAR(160),""))=TRIM(SUBSTITUTE(UPPER(D2),CHAR(160),"")))*
       (TRIM(SUBSTITUTE(UPPER($E$2:$E2),CHAR(160),""))=TRIM(SUBSTITUTE(UPPER(E2),CHAR(160),"")))
     )
  ),
  0
)</calculatedColumnFormula>
    </tableColumn>
    <tableColumn id="11" xr3:uid="{11224FD7-5C02-4792-A288-CE43580CC6D5}" name="Nombre de visite_x000a_Partenaire &gt; Geoffroy" dataDxfId="21">
      <calculatedColumnFormula array="1">IFERROR(
  IF(D2&lt;&gt;"Geoffroy",
     0,
     SUMPRODUCT(
       (TRIM(SUBSTITUTE(UPPER($B$2:$B2),CHAR(160),""))=TRIM(SUBSTITUTE(UPPER(B2),CHAR(160),"")))*
       (TRIM(SUBSTITUTE(UPPER($C$2:$C2),CHAR(160),""))=TRIM(SUBSTITUTE(UPPER(C2),CHAR(160),"")))*
       (TRIM(SUBSTITUTE(UPPER($D$2:$D2),CHAR(160),""))=TRIM(SUBSTITUTE(UPPER(D2),CHAR(160),"")))*
       (TRIM(SUBSTITUTE(UPPER($E$2:$E2),CHAR(160),""))=TRIM(SUBSTITUTE(UPPER(E2),CHAR(160),"")))
     )
  ),
  0
)</calculatedColumnFormula>
    </tableColumn>
    <tableColumn id="12" xr3:uid="{BDB4201D-A412-4DD6-8A83-74F90DE5DE96}" name="Nombre de visite_x000a_Partenaire &gt; Tiphaine" dataDxfId="20">
      <calculatedColumnFormula array="1">IFERROR(
  IF(D2&lt;&gt;"Tiphaine",
     0,
     SUMPRODUCT(
       (TRIM(SUBSTITUTE(UPPER($B$2:$B2),CHAR(160),""))=TRIM(SUBSTITUTE(UPPER(B2),CHAR(160),"")))*
       (TRIM(SUBSTITUTE(UPPER($C$2:$C2),CHAR(160),""))=TRIM(SUBSTITUTE(UPPER(C2),CHAR(160),"")))*
       (TRIM(SUBSTITUTE(UPPER($D$2:$D2),CHAR(160),""))=TRIM(SUBSTITUTE(UPPER(D2),CHAR(160),"")))*
       (TRIM(SUBSTITUTE(UPPER($E$2:$E2),CHAR(160),""))=TRIM(SUBSTITUTE(UPPER(E2),CHAR(160),"")))
     )
  ),
  0
)</calculatedColumnFormula>
    </tableColumn>
    <tableColumn id="13" xr3:uid="{9B77D9CE-1FE8-4150-A432-1AB8A5544B91}" name="Nombre de visite_x000a_Partenaire &gt; Catherine" dataDxfId="19">
      <calculatedColumnFormula array="1">IFERROR(
  IF(D2&lt;&gt;"Catherine",
     0,
     SUMPRODUCT(
       (TRIM(SUBSTITUTE(UPPER($B$2:$B2),CHAR(160),""))=TRIM(SUBSTITUTE(UPPER(B2),CHAR(160),"")))*
       (TRIM(SUBSTITUTE(UPPER($C$2:$C2),CHAR(160),""))=TRIM(SUBSTITUTE(UPPER(C2),CHAR(160),"")))*
       (TRIM(SUBSTITUTE(UPPER($D$2:$D2),CHAR(160),""))=TRIM(SUBSTITUTE(UPPER(D2),CHAR(160),"")))*
       (TRIM(SUBSTITUTE(UPPER($E$2:$E2),CHAR(160),""))=TRIM(SUBSTITUTE(UPPER(E2),CHAR(160),"")))
     )
  ),
  0
)</calculatedColumnFormula>
    </tableColumn>
    <tableColumn id="6" xr3:uid="{A6DB0C7C-A9A2-4FE2-8C4A-A71E5BFE7F61}" name="Prime Cédric" dataDxfId="18">
      <calculatedColumnFormula>IFERROR(
  IF(
    D2&lt;&gt;"Cédric",
    0,
    IF(
      C2="",
      IF(
        COUNTIFS($B$2:B2,B2,$E$2:E2,E2,$D$2:D2,D2)=1,
        INDEX([1]DB!$A:$A,MATCH($E2,[1]DB!$D:$D,0)),
        IF(
          COUNTIFS($B$2:B2,B2,$E$2:E2,E2,$D$2:D2,D2)=2,
          INDEX([1]DB!$B:$B,MATCH($E2,[1]DB!$D:$D,0)),
          INDEX([1]DB!$C:$C,MATCH($E2,[1]DB!$D:$D,0))
        )
      ),
      IF(
        COUNTIFS($C$2:C2,C2,$E$2:E2,E2,$D$2:D2,D2)=1,
        INDEX([1]DB!$A:$A,MATCH($E2,[1]DB!$D:$D,0)),
        IF(
          COUNTIFS($C$2:C2,C2,$E$2:E2,E2,$D$2:D2,D2)=2,
          INDEX([1]DB!$B:$B,MATCH($E2,[1]DB!$D:$D,0)),
          INDEX([1]DB!$C:$C,MATCH($E2,[1]DB!$D:$D,0))
        )
      )
    )
  ),
  0
)</calculatedColumnFormula>
    </tableColumn>
    <tableColumn id="48" xr3:uid="{34965D2C-3917-4007-889E-30C76CDFA208}" name="Prime Geoffroy" dataDxfId="17">
      <calculatedColumnFormula>IFERROR(
  IF(
    D2&lt;&gt;"Geoffroy",
    0,
    IF(
      C2="",
      IF(
        COUNTIFS($B$2:B2,B2,$E$2:E2,E2,$D$2:D2,D2)=1,
        INDEX([1]DB!$A:$A,MATCH($E2,[1]DB!$D:$D,0)),
        IF(
          COUNTIFS($B$2:B2,B2,$E$2:E2,E2,$D$2:D2,D2)=2,
          INDEX([1]DB!$B:$B,MATCH($E2,[1]DB!$D:$D,0)),
          INDEX([1]DB!$C:$C,MATCH($E2,[1]DB!$D:$D,0))
        )
      ),
      IF(
        COUNTIFS($C$2:C2,C2,$E$2:E2,E2,$D$2:D2,D2)=1,
        INDEX([1]DB!$A:$A,MATCH($E2,[1]DB!$D:$D,0)),
        IF(
          COUNTIFS($C$2:C2,C2,$E$2:E2,E2,$D$2:D2,D2)=2,
          INDEX([1]DB!$B:$B,MATCH($E2,[1]DB!$D:$D,0)),
          INDEX([1]DB!$C:$C,MATCH($E2,[1]DB!$D:$D,0))
        )
      )
    )
  ),
  0
)</calculatedColumnFormula>
    </tableColumn>
    <tableColumn id="10" xr3:uid="{88DC1873-2BD2-4A55-BDFC-4DA792D615EC}" name="Prime Tiphaine" dataDxfId="16">
      <calculatedColumnFormula>IFERROR(
  IF(
    D2&lt;&gt;"Tiphaine",
    0,
    IF(
      C2="",
      IF(
        COUNTIFS($B$2:B2,B2,$E$2:E2,E2,$D$2:D2,D2)=1,
        INDEX([1]DB!$A:$A,MATCH($E2,[1]DB!$D:$D,0)),
        IF(
          COUNTIFS($B$2:B2,B2,$E$2:E2,E2,$D$2:D2,D2)=2,
          INDEX([1]DB!$B:$B,MATCH($E2,[1]DB!$D:$D,0)),
          INDEX([1]DB!$C:$C,MATCH($E2,[1]DB!$D:$D,0))
        )
      ),
      IF(
        COUNTIFS($C$2:C2,C2,$E$2:E2,E2,$D$2:D2,D2)=1,
        INDEX([1]DB!$A:$A,MATCH($E2,[1]DB!$D:$D,0)),
        IF(
          COUNTIFS($C$2:C2,C2,$E$2:E2,E2,$D$2:D2,D2)=2,
          INDEX([1]DB!$B:$B,MATCH($E2,[1]DB!$D:$D,0)),
          INDEX([1]DB!$C:$C,MATCH($E2,[1]DB!$D:$D,0))
        )
      )
    )
  ),
  0
)</calculatedColumnFormula>
    </tableColumn>
    <tableColumn id="7" xr3:uid="{BFED1F16-EE27-4552-B917-4785A9E0AF4B}" name="Prime Catherine2" dataDxfId="15">
      <calculatedColumnFormula>IFERROR(
  IF(
    D2&lt;&gt;"Catherine",
    0,
    IF(
      C2="",
      IF(
        COUNTIFS($B$2:B2,B2,$E$2:E2,E2,$D$2:D2,D2)=1,
        INDEX([1]DB!$A:$A,MATCH($E2,[1]DB!$D:$D,0)),
        IF(
          COUNTIFS($B$2:B2,B2,$E$2:E2,E2,$D$2:D2,D2)=2,
          INDEX([1]DB!$B:$B,MATCH($E2,[1]DB!$D:$D,0)),
          INDEX([1]DB!$C:$C,MATCH($E2,[1]DB!$D:$D,0))
        )
      ),
      IF(
        COUNTIFS($C$2:C2,C2,$E$2:E2,E2,$D$2:D2,D2)=1,
        INDEX([1]DB!$A:$A,MATCH($E2,[1]DB!$D:$D,0)),
        IF(
          COUNTIFS($C$2:C2,C2,$E$2:E2,E2,$D$2:D2,D2)=2,
          INDEX([1]DB!$B:$B,MATCH($E2,[1]DB!$D:$D,0)),
          INDEX([1]DB!$C:$C,MATCH($E2,[1]DB!$D:$D,0))
        )
      )
    )
  ),
  0
)</calculatedColumnFormula>
    </tableColumn>
    <tableColumn id="5" xr3:uid="{DFF09424-163F-49CD-B9E6-B47BBB1CEEC5}" name="Versement Prime" dataDxfId="13" totalsRowDxfId="14">
      <calculatedColumnFormula>IF(DAY(A2)&lt;=15,UPPER(LEFT(TEXT(A2,"mmmm"),1))&amp;RIGHT(TEXT(A2,"mmmm"),LEN(TEXT(A2,"mmmm"))-1),UPPER(LEFT(TEXT(DATE(YEAR(A2),MONTH(A2)+1,1),"mmmm"),1))&amp;RIGHT(TEXT(DATE(YEAR(A2),MONTH(A2)+1,1),"mmmm"),LEN(TEXT(DATE(YEAR(A2),MONTH(A2)+1,1),"mmmm"))-1))</calculatedColumnFormula>
    </tableColumn>
    <tableColumn id="36" xr3:uid="{E1C473E3-BA9E-4EFB-AE79-4106B582791E}" name="Filtre_x000a_TCD" dataDxfId="11" totalsRowDxfId="12">
      <calculatedColumnFormula>IF(AND(A2&lt;=TODAY(),F2&lt;&gt;""),"OK","NON")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5"/>
  <sheetViews>
    <sheetView tabSelected="1" workbookViewId="0">
      <selection activeCell="X26" sqref="W24:X26"/>
    </sheetView>
  </sheetViews>
  <sheetFormatPr baseColWidth="10" defaultColWidth="8.88671875" defaultRowHeight="14.4"/>
  <cols>
    <col min="1" max="1" width="12.109375" style="14" bestFit="1" customWidth="1"/>
    <col min="2" max="2" width="41.77734375" style="15" bestFit="1" customWidth="1"/>
    <col min="3" max="3" width="33.5546875" style="15" bestFit="1" customWidth="1"/>
    <col min="4" max="4" width="13.21875" style="16" customWidth="1"/>
    <col min="5" max="5" width="19.6640625" bestFit="1" customWidth="1"/>
    <col min="6" max="6" width="9.77734375" bestFit="1" customWidth="1"/>
    <col min="7" max="7" width="23" style="17" bestFit="1" customWidth="1"/>
    <col min="8" max="8" width="24.88671875" style="17" bestFit="1" customWidth="1"/>
    <col min="9" max="9" width="25" style="17" bestFit="1" customWidth="1"/>
    <col min="10" max="10" width="26.109375" style="17" bestFit="1" customWidth="1"/>
    <col min="11" max="14" width="11.44140625" style="15" customWidth="1"/>
    <col min="15" max="15" width="12.33203125" style="15" customWidth="1"/>
    <col min="16" max="16" width="13" style="18" customWidth="1"/>
    <col min="19" max="19" width="31.109375" customWidth="1"/>
  </cols>
  <sheetData>
    <row r="1" spans="1:22" ht="28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129</v>
      </c>
      <c r="H1" s="2" t="s">
        <v>130</v>
      </c>
      <c r="I1" s="2" t="s">
        <v>131</v>
      </c>
      <c r="J1" s="2" t="s">
        <v>132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S1" s="23" t="s">
        <v>141</v>
      </c>
      <c r="T1" s="24" t="s">
        <v>133</v>
      </c>
      <c r="U1" s="24" t="s">
        <v>134</v>
      </c>
      <c r="V1" s="24" t="s">
        <v>135</v>
      </c>
    </row>
    <row r="2" spans="1:22">
      <c r="A2" s="4">
        <v>46028</v>
      </c>
      <c r="B2" s="5" t="s">
        <v>12</v>
      </c>
      <c r="C2" s="5" t="s">
        <v>13</v>
      </c>
      <c r="D2" s="6" t="s">
        <v>14</v>
      </c>
      <c r="E2" s="6" t="s">
        <v>15</v>
      </c>
      <c r="F2" s="7">
        <v>9.52</v>
      </c>
      <c r="G2" s="8" cm="1">
        <f t="array" ref="G2">IFERROR(
  IF(D2&lt;&gt;"Cédric",
     0,
     SUMPRODUCT(
       (TRIM(SUBSTITUTE(UPPER($B$2:$B2),CHAR(160),""))=TRIM(SUBSTITUTE(UPPER(B2),CHAR(160),"")))*
       (TRIM(SUBSTITUTE(UPPER($C$2:$C2),CHAR(160),""))=TRIM(SUBSTITUTE(UPPER(C2),CHAR(160),"")))*
       (TRIM(SUBSTITUTE(UPPER($D$2:$D2),CHAR(160),""))=TRIM(SUBSTITUTE(UPPER(D2),CHAR(160),"")))*
       (TRIM(SUBSTITUTE(UPPER($E$2:$E2),CHAR(160),""))=TRIM(SUBSTITUTE(UPPER(E2),CHAR(160),"")))
     )
  ),
  0
)</f>
        <v>1</v>
      </c>
      <c r="H2" s="8" cm="1">
        <f t="array" ref="H2">IFERROR(
  IF(D2&lt;&gt;"Geoffroy",
     0,
     SUMPRODUCT(
       (TRIM(SUBSTITUTE(UPPER($B$2:$B2),CHAR(160),""))=TRIM(SUBSTITUTE(UPPER(B2),CHAR(160),"")))*
       (TRIM(SUBSTITUTE(UPPER($C$2:$C2),CHAR(160),""))=TRIM(SUBSTITUTE(UPPER(C2),CHAR(160),"")))*
       (TRIM(SUBSTITUTE(UPPER($D$2:$D2),CHAR(160),""))=TRIM(SUBSTITUTE(UPPER(D2),CHAR(160),"")))*
       (TRIM(SUBSTITUTE(UPPER($E$2:$E2),CHAR(160),""))=TRIM(SUBSTITUTE(UPPER(E2),CHAR(160),"")))
     )
  ),
  0
)</f>
        <v>0</v>
      </c>
      <c r="I2" s="8" cm="1">
        <f t="array" ref="I2">IFERROR(
  IF(D2&lt;&gt;"Tiphaine",
     0,
     SUMPRODUCT(
       (TRIM(SUBSTITUTE(UPPER($B$2:$B2),CHAR(160),""))=TRIM(SUBSTITUTE(UPPER(B2),CHAR(160),"")))*
       (TRIM(SUBSTITUTE(UPPER($C$2:$C2),CHAR(160),""))=TRIM(SUBSTITUTE(UPPER(C2),CHAR(160),"")))*
       (TRIM(SUBSTITUTE(UPPER($D$2:$D2),CHAR(160),""))=TRIM(SUBSTITUTE(UPPER(D2),CHAR(160),"")))*
       (TRIM(SUBSTITUTE(UPPER($E$2:$E2),CHAR(160),""))=TRIM(SUBSTITUTE(UPPER(E2),CHAR(160),"")))
     )
  ),
  0
)</f>
        <v>0</v>
      </c>
      <c r="J2" s="8" cm="1">
        <f t="array" ref="J2">IFERROR(
  IF(D2&lt;&gt;"Catherine",
     0,
     SUMPRODUCT(
       (TRIM(SUBSTITUTE(UPPER($B$2:$B2),CHAR(160),""))=TRIM(SUBSTITUTE(UPPER(B2),CHAR(160),"")))*
       (TRIM(SUBSTITUTE(UPPER($C$2:$C2),CHAR(160),""))=TRIM(SUBSTITUTE(UPPER(C2),CHAR(160),"")))*
       (TRIM(SUBSTITUTE(UPPER($D$2:$D2),CHAR(160),""))=TRIM(SUBSTITUTE(UPPER(D2),CHAR(160),"")))*
       (TRIM(SUBSTITUTE(UPPER($E$2:$E2),CHAR(160),""))=TRIM(SUBSTITUTE(UPPER(E2),CHAR(160),"")))
     )
  ),
  0
)</f>
        <v>0</v>
      </c>
      <c r="K2" s="9">
        <f>IFERROR(
  IF(
    D2&lt;&gt;"Cédric",
    0,
    IF(
      C2="",
      IF(
        COUNTIFS($B$2:B2,B2,$E$2:E2,E2,$D$2:D2,D2)=1,
        INDEX([1]DB!$A:$A,MATCH($E2,[1]DB!$D:$D,0)),
        IF(
          COUNTIFS($B$2:B2,B2,$E$2:E2,E2,$D$2:D2,D2)=2,
          INDEX([1]DB!$B:$B,MATCH($E2,[1]DB!$D:$D,0)),
          INDEX([1]DB!$C:$C,MATCH($E2,[1]DB!$D:$D,0))
        )
      ),
      IF(
        COUNTIFS($C$2:C2,C2,$E$2:E2,E2,$D$2:D2,D2)=1,
        INDEX([1]DB!$A:$A,MATCH($E2,[1]DB!$D:$D,0)),
        IF(
          COUNTIFS($C$2:C2,C2,$E$2:E2,E2,$D$2:D2,D2)=2,
          INDEX([1]DB!$B:$B,MATCH($E2,[1]DB!$D:$D,0)),
          INDEX([1]DB!$C:$C,MATCH($E2,[1]DB!$D:$D,0))
        )
      )
    )
  ),
  0
)</f>
        <v>75</v>
      </c>
      <c r="L2" s="9">
        <f>IFERROR(
  IF(
    D2&lt;&gt;"Geoffroy",
    0,
    IF(
      C2="",
      IF(
        COUNTIFS($B$2:B2,B2,$E$2:E2,E2,$D$2:D2,D2)=1,
        INDEX([1]DB!$A:$A,MATCH($E2,[1]DB!$D:$D,0)),
        IF(
          COUNTIFS($B$2:B2,B2,$E$2:E2,E2,$D$2:D2,D2)=2,
          INDEX([1]DB!$B:$B,MATCH($E2,[1]DB!$D:$D,0)),
          INDEX([1]DB!$C:$C,MATCH($E2,[1]DB!$D:$D,0))
        )
      ),
      IF(
        COUNTIFS($C$2:C2,C2,$E$2:E2,E2,$D$2:D2,D2)=1,
        INDEX([1]DB!$A:$A,MATCH($E2,[1]DB!$D:$D,0)),
        IF(
          COUNTIFS($C$2:C2,C2,$E$2:E2,E2,$D$2:D2,D2)=2,
          INDEX([1]DB!$B:$B,MATCH($E2,[1]DB!$D:$D,0)),
          INDEX([1]DB!$C:$C,MATCH($E2,[1]DB!$D:$D,0))
        )
      )
    )
  ),
  0
)</f>
        <v>0</v>
      </c>
      <c r="M2" s="9">
        <f>IFERROR(
  IF(
    D2&lt;&gt;"Tiphaine",
    0,
    IF(
      C2="",
      IF(
        COUNTIFS($B$2:B2,B2,$E$2:E2,E2,$D$2:D2,D2)=1,
        INDEX([1]DB!$A:$A,MATCH($E2,[1]DB!$D:$D,0)),
        IF(
          COUNTIFS($B$2:B2,B2,$E$2:E2,E2,$D$2:D2,D2)=2,
          INDEX([1]DB!$B:$B,MATCH($E2,[1]DB!$D:$D,0)),
          INDEX([1]DB!$C:$C,MATCH($E2,[1]DB!$D:$D,0))
        )
      ),
      IF(
        COUNTIFS($C$2:C2,C2,$E$2:E2,E2,$D$2:D2,D2)=1,
        INDEX([1]DB!$A:$A,MATCH($E2,[1]DB!$D:$D,0)),
        IF(
          COUNTIFS($C$2:C2,C2,$E$2:E2,E2,$D$2:D2,D2)=2,
          INDEX([1]DB!$B:$B,MATCH($E2,[1]DB!$D:$D,0)),
          INDEX([1]DB!$C:$C,MATCH($E2,[1]DB!$D:$D,0))
        )
      )
    )
  ),
  0
)</f>
        <v>0</v>
      </c>
      <c r="N2" s="9">
        <f>IFERROR(
  IF(
    D2&lt;&gt;"Catherine",
    0,
    IF(
      C2="",
      IF(
        COUNTIFS($B$2:B2,B2,$E$2:E2,E2,$D$2:D2,D2)=1,
        INDEX([1]DB!$A:$A,MATCH($E2,[1]DB!$D:$D,0)),
        IF(
          COUNTIFS($B$2:B2,B2,$E$2:E2,E2,$D$2:D2,D2)=2,
          INDEX([1]DB!$B:$B,MATCH($E2,[1]DB!$D:$D,0)),
          INDEX([1]DB!$C:$C,MATCH($E2,[1]DB!$D:$D,0))
        )
      ),
      IF(
        COUNTIFS($C$2:C2,C2,$E$2:E2,E2,$D$2:D2,D2)=1,
        INDEX([1]DB!$A:$A,MATCH($E2,[1]DB!$D:$D,0)),
        IF(
          COUNTIFS($C$2:C2,C2,$E$2:E2,E2,$D$2:D2,D2)=2,
          INDEX([1]DB!$B:$B,MATCH($E2,[1]DB!$D:$D,0)),
          INDEX([1]DB!$C:$C,MATCH($E2,[1]DB!$D:$D,0))
        )
      )
    )
  ),
  0
)</f>
        <v>0</v>
      </c>
      <c r="O2" s="5" t="str">
        <f>IF(DAY(A2)&lt;=15,UPPER(LEFT(TEXT(A2,"mmmm"),1))&amp;RIGHT(TEXT(A2,"mmmm"),LEN(TEXT(A2,"mmmm"))-1),UPPER(LEFT(TEXT(DATE(YEAR(A2),MONTH(A2)+1,1),"mmmm"),1))&amp;RIGHT(TEXT(DATE(YEAR(A2),MONTH(A2)+1,1),"mmmm"),LEN(TEXT(DATE(YEAR(A2),MONTH(A2)+1,1),"mmmm"))-1))</f>
        <v>Janvier</v>
      </c>
      <c r="P2" s="6" t="str">
        <f ca="1">IF(AND(A2&lt;=TODAY(),F2&lt;&gt;""),"OK","NON")</f>
        <v>OK</v>
      </c>
      <c r="S2" s="22" t="s">
        <v>136</v>
      </c>
      <c r="T2" s="25">
        <v>110</v>
      </c>
      <c r="U2" s="25">
        <v>150</v>
      </c>
      <c r="V2" s="25">
        <v>175</v>
      </c>
    </row>
    <row r="3" spans="1:22">
      <c r="A3" s="4">
        <v>46029</v>
      </c>
      <c r="B3" s="5" t="s">
        <v>16</v>
      </c>
      <c r="C3" s="5" t="s">
        <v>17</v>
      </c>
      <c r="D3" s="6" t="s">
        <v>14</v>
      </c>
      <c r="E3" s="6" t="s">
        <v>18</v>
      </c>
      <c r="F3" s="7">
        <v>7.61</v>
      </c>
      <c r="G3" s="8" cm="1">
        <f t="array" ref="G3">IFERROR(
  IF(D3&lt;&gt;"Cédric",
     0,
     SUMPRODUCT(
       (TRIM(SUBSTITUTE(UPPER($B$2:$B3),CHAR(160),""))=TRIM(SUBSTITUTE(UPPER(B3),CHAR(160),"")))*
       (TRIM(SUBSTITUTE(UPPER($C$2:$C3),CHAR(160),""))=TRIM(SUBSTITUTE(UPPER(C3),CHAR(160),"")))*
       (TRIM(SUBSTITUTE(UPPER($D$2:$D3),CHAR(160),""))=TRIM(SUBSTITUTE(UPPER(D3),CHAR(160),"")))*
       (TRIM(SUBSTITUTE(UPPER($E$2:$E3),CHAR(160),""))=TRIM(SUBSTITUTE(UPPER(E3),CHAR(160),"")))
     )
  ),
  0
)</f>
        <v>1</v>
      </c>
      <c r="H3" s="8" cm="1">
        <f t="array" ref="H3">IFERROR(
  IF(D3&lt;&gt;"Geoffroy",
     0,
     SUMPRODUCT(
       (TRIM(SUBSTITUTE(UPPER($B$2:$B3),CHAR(160),""))=TRIM(SUBSTITUTE(UPPER(B3),CHAR(160),"")))*
       (TRIM(SUBSTITUTE(UPPER($C$2:$C3),CHAR(160),""))=TRIM(SUBSTITUTE(UPPER(C3),CHAR(160),"")))*
       (TRIM(SUBSTITUTE(UPPER($D$2:$D3),CHAR(160),""))=TRIM(SUBSTITUTE(UPPER(D3),CHAR(160),"")))*
       (TRIM(SUBSTITUTE(UPPER($E$2:$E3),CHAR(160),""))=TRIM(SUBSTITUTE(UPPER(E3),CHAR(160),"")))
     )
  ),
  0
)</f>
        <v>0</v>
      </c>
      <c r="I3" s="8" cm="1">
        <f t="array" ref="I3">IFERROR(
  IF(D3&lt;&gt;"Tiphaine",
     0,
     SUMPRODUCT(
       (TRIM(SUBSTITUTE(UPPER($B$2:$B3),CHAR(160),""))=TRIM(SUBSTITUTE(UPPER(B3),CHAR(160),"")))*
       (TRIM(SUBSTITUTE(UPPER($C$2:$C3),CHAR(160),""))=TRIM(SUBSTITUTE(UPPER(C3),CHAR(160),"")))*
       (TRIM(SUBSTITUTE(UPPER($D$2:$D3),CHAR(160),""))=TRIM(SUBSTITUTE(UPPER(D3),CHAR(160),"")))*
       (TRIM(SUBSTITUTE(UPPER($E$2:$E3),CHAR(160),""))=TRIM(SUBSTITUTE(UPPER(E3),CHAR(160),"")))
     )
  ),
  0
)</f>
        <v>0</v>
      </c>
      <c r="J3" s="8" cm="1">
        <f t="array" ref="J3">IFERROR(
  IF(D3&lt;&gt;"Catherine",
     0,
     SUMPRODUCT(
       (TRIM(SUBSTITUTE(UPPER($B$2:$B3),CHAR(160),""))=TRIM(SUBSTITUTE(UPPER(B3),CHAR(160),"")))*
       (TRIM(SUBSTITUTE(UPPER($C$2:$C3),CHAR(160),""))=TRIM(SUBSTITUTE(UPPER(C3),CHAR(160),"")))*
       (TRIM(SUBSTITUTE(UPPER($D$2:$D3),CHAR(160),""))=TRIM(SUBSTITUTE(UPPER(D3),CHAR(160),"")))*
       (TRIM(SUBSTITUTE(UPPER($E$2:$E3),CHAR(160),""))=TRIM(SUBSTITUTE(UPPER(E3),CHAR(160),"")))
     )
  ),
  0
)</f>
        <v>0</v>
      </c>
      <c r="K3" s="9">
        <f>IFERROR(
  IF(
    D3&lt;&gt;"Cédric",
    0,
    IF(
      C3="",
      IF(
        COUNTIFS($B$2:B3,B3,$E$2:E3,E3,$D$2:D3,D3)=1,
        INDEX([1]DB!$A:$A,MATCH($E3,[1]DB!$D:$D,0)),
        IF(
          COUNTIFS($B$2:B3,B3,$E$2:E3,E3,$D$2:D3,D3)=2,
          INDEX([1]DB!$B:$B,MATCH($E3,[1]DB!$D:$D,0)),
          INDEX([1]DB!$C:$C,MATCH($E3,[1]DB!$D:$D,0))
        )
      ),
      IF(
        COUNTIFS($C$2:C3,C3,$E$2:E3,E3,$D$2:D3,D3)=1,
        INDEX([1]DB!$A:$A,MATCH($E3,[1]DB!$D:$D,0)),
        IF(
          COUNTIFS($C$2:C3,C3,$E$2:E3,E3,$D$2:D3,D3)=2,
          INDEX([1]DB!$B:$B,MATCH($E3,[1]DB!$D:$D,0)),
          INDEX([1]DB!$C:$C,MATCH($E3,[1]DB!$D:$D,0))
        )
      )
    )
  ),
  0
)</f>
        <v>10</v>
      </c>
      <c r="L3" s="9">
        <f>IFERROR(
  IF(
    D3&lt;&gt;"Geoffroy",
    0,
    IF(
      C3="",
      IF(
        COUNTIFS($B$2:B3,B3,$E$2:E3,E3,$D$2:D3,D3)=1,
        INDEX([1]DB!$A:$A,MATCH($E3,[1]DB!$D:$D,0)),
        IF(
          COUNTIFS($B$2:B3,B3,$E$2:E3,E3,$D$2:D3,D3)=2,
          INDEX([1]DB!$B:$B,MATCH($E3,[1]DB!$D:$D,0)),
          INDEX([1]DB!$C:$C,MATCH($E3,[1]DB!$D:$D,0))
        )
      ),
      IF(
        COUNTIFS($C$2:C3,C3,$E$2:E3,E3,$D$2:D3,D3)=1,
        INDEX([1]DB!$A:$A,MATCH($E3,[1]DB!$D:$D,0)),
        IF(
          COUNTIFS($C$2:C3,C3,$E$2:E3,E3,$D$2:D3,D3)=2,
          INDEX([1]DB!$B:$B,MATCH($E3,[1]DB!$D:$D,0)),
          INDEX([1]DB!$C:$C,MATCH($E3,[1]DB!$D:$D,0))
        )
      )
    )
  ),
  0
)</f>
        <v>0</v>
      </c>
      <c r="M3" s="9">
        <f>IFERROR(
  IF(
    D3&lt;&gt;"Tiphaine",
    0,
    IF(
      C3="",
      IF(
        COUNTIFS($B$2:B3,B3,$E$2:E3,E3,$D$2:D3,D3)=1,
        INDEX([1]DB!$A:$A,MATCH($E3,[1]DB!$D:$D,0)),
        IF(
          COUNTIFS($B$2:B3,B3,$E$2:E3,E3,$D$2:D3,D3)=2,
          INDEX([1]DB!$B:$B,MATCH($E3,[1]DB!$D:$D,0)),
          INDEX([1]DB!$C:$C,MATCH($E3,[1]DB!$D:$D,0))
        )
      ),
      IF(
        COUNTIFS($C$2:C3,C3,$E$2:E3,E3,$D$2:D3,D3)=1,
        INDEX([1]DB!$A:$A,MATCH($E3,[1]DB!$D:$D,0)),
        IF(
          COUNTIFS($C$2:C3,C3,$E$2:E3,E3,$D$2:D3,D3)=2,
          INDEX([1]DB!$B:$B,MATCH($E3,[1]DB!$D:$D,0)),
          INDEX([1]DB!$C:$C,MATCH($E3,[1]DB!$D:$D,0))
        )
      )
    )
  ),
  0
)</f>
        <v>0</v>
      </c>
      <c r="N3" s="9">
        <f>IFERROR(
  IF(
    D3&lt;&gt;"Catherine",
    0,
    IF(
      C3="",
      IF(
        COUNTIFS($B$2:B3,B3,$E$2:E3,E3,$D$2:D3,D3)=1,
        INDEX([1]DB!$A:$A,MATCH($E3,[1]DB!$D:$D,0)),
        IF(
          COUNTIFS($B$2:B3,B3,$E$2:E3,E3,$D$2:D3,D3)=2,
          INDEX([1]DB!$B:$B,MATCH($E3,[1]DB!$D:$D,0)),
          INDEX([1]DB!$C:$C,MATCH($E3,[1]DB!$D:$D,0))
        )
      ),
      IF(
        COUNTIFS($C$2:C3,C3,$E$2:E3,E3,$D$2:D3,D3)=1,
        INDEX([1]DB!$A:$A,MATCH($E3,[1]DB!$D:$D,0)),
        IF(
          COUNTIFS($C$2:C3,C3,$E$2:E3,E3,$D$2:D3,D3)=2,
          INDEX([1]DB!$B:$B,MATCH($E3,[1]DB!$D:$D,0)),
          INDEX([1]DB!$C:$C,MATCH($E3,[1]DB!$D:$D,0))
        )
      )
    )
  ),
  0
)</f>
        <v>0</v>
      </c>
      <c r="O3" s="5" t="str">
        <f>IF(DAY(A3)&lt;=15,UPPER(LEFT(TEXT(A3,"mmmm"),1))&amp;RIGHT(TEXT(A3,"mmmm"),LEN(TEXT(A3,"mmmm"))-1),UPPER(LEFT(TEXT(DATE(YEAR(A3),MONTH(A3)+1,1),"mmmm"),1))&amp;RIGHT(TEXT(DATE(YEAR(A3),MONTH(A3)+1,1),"mmmm"),LEN(TEXT(DATE(YEAR(A3),MONTH(A3)+1,1),"mmmm"))-1))</f>
        <v>Janvier</v>
      </c>
      <c r="P3" s="6" t="str">
        <f ca="1">IF(AND(A3&lt;=TODAY(),F3&lt;&gt;""),"OK","NON")</f>
        <v>OK</v>
      </c>
      <c r="S3" s="22" t="s">
        <v>137</v>
      </c>
      <c r="T3" s="25">
        <v>38</v>
      </c>
      <c r="U3" s="25">
        <v>0</v>
      </c>
      <c r="V3" s="25">
        <v>0</v>
      </c>
    </row>
    <row r="4" spans="1:22">
      <c r="A4" s="4">
        <v>46029</v>
      </c>
      <c r="B4" s="5" t="s">
        <v>19</v>
      </c>
      <c r="C4" s="5" t="s">
        <v>20</v>
      </c>
      <c r="D4" s="6" t="s">
        <v>14</v>
      </c>
      <c r="E4" s="6" t="s">
        <v>18</v>
      </c>
      <c r="F4" s="7">
        <v>7.39</v>
      </c>
      <c r="G4" s="8" cm="1">
        <f t="array" ref="G4">IFERROR(
  IF(D4&lt;&gt;"Cédric",
     0,
     SUMPRODUCT(
       (TRIM(SUBSTITUTE(UPPER($B$2:$B4),CHAR(160),""))=TRIM(SUBSTITUTE(UPPER(B4),CHAR(160),"")))*
       (TRIM(SUBSTITUTE(UPPER($C$2:$C4),CHAR(160),""))=TRIM(SUBSTITUTE(UPPER(C4),CHAR(160),"")))*
       (TRIM(SUBSTITUTE(UPPER($D$2:$D4),CHAR(160),""))=TRIM(SUBSTITUTE(UPPER(D4),CHAR(160),"")))*
       (TRIM(SUBSTITUTE(UPPER($E$2:$E4),CHAR(160),""))=TRIM(SUBSTITUTE(UPPER(E4),CHAR(160),"")))
     )
  ),
  0
)</f>
        <v>1</v>
      </c>
      <c r="H4" s="8" cm="1">
        <f t="array" ref="H4">IFERROR(
  IF(D4&lt;&gt;"Geoffroy",
     0,
     SUMPRODUCT(
       (TRIM(SUBSTITUTE(UPPER($B$2:$B4),CHAR(160),""))=TRIM(SUBSTITUTE(UPPER(B4),CHAR(160),"")))*
       (TRIM(SUBSTITUTE(UPPER($C$2:$C4),CHAR(160),""))=TRIM(SUBSTITUTE(UPPER(C4),CHAR(160),"")))*
       (TRIM(SUBSTITUTE(UPPER($D$2:$D4),CHAR(160),""))=TRIM(SUBSTITUTE(UPPER(D4),CHAR(160),"")))*
       (TRIM(SUBSTITUTE(UPPER($E$2:$E4),CHAR(160),""))=TRIM(SUBSTITUTE(UPPER(E4),CHAR(160),"")))
     )
  ),
  0
)</f>
        <v>0</v>
      </c>
      <c r="I4" s="8" cm="1">
        <f t="array" ref="I4">IFERROR(
  IF(D4&lt;&gt;"Tiphaine",
     0,
     SUMPRODUCT(
       (TRIM(SUBSTITUTE(UPPER($B$2:$B4),CHAR(160),""))=TRIM(SUBSTITUTE(UPPER(B4),CHAR(160),"")))*
       (TRIM(SUBSTITUTE(UPPER($C$2:$C4),CHAR(160),""))=TRIM(SUBSTITUTE(UPPER(C4),CHAR(160),"")))*
       (TRIM(SUBSTITUTE(UPPER($D$2:$D4),CHAR(160),""))=TRIM(SUBSTITUTE(UPPER(D4),CHAR(160),"")))*
       (TRIM(SUBSTITUTE(UPPER($E$2:$E4),CHAR(160),""))=TRIM(SUBSTITUTE(UPPER(E4),CHAR(160),"")))
     )
  ),
  0
)</f>
        <v>0</v>
      </c>
      <c r="J4" s="8" cm="1">
        <f t="array" ref="J4">IFERROR(
  IF(D4&lt;&gt;"Catherine",
     0,
     SUMPRODUCT(
       (TRIM(SUBSTITUTE(UPPER($B$2:$B4),CHAR(160),""))=TRIM(SUBSTITUTE(UPPER(B4),CHAR(160),"")))*
       (TRIM(SUBSTITUTE(UPPER($C$2:$C4),CHAR(160),""))=TRIM(SUBSTITUTE(UPPER(C4),CHAR(160),"")))*
       (TRIM(SUBSTITUTE(UPPER($D$2:$D4),CHAR(160),""))=TRIM(SUBSTITUTE(UPPER(D4),CHAR(160),"")))*
       (TRIM(SUBSTITUTE(UPPER($E$2:$E4),CHAR(160),""))=TRIM(SUBSTITUTE(UPPER(E4),CHAR(160),"")))
     )
  ),
  0
)</f>
        <v>0</v>
      </c>
      <c r="K4" s="9">
        <f>IFERROR(
  IF(
    D4&lt;&gt;"Cédric",
    0,
    IF(
      C4="",
      IF(
        COUNTIFS($B$2:B4,B4,$E$2:E4,E4,$D$2:D4,D4)=1,
        INDEX([1]DB!$A:$A,MATCH($E4,[1]DB!$D:$D,0)),
        IF(
          COUNTIFS($B$2:B4,B4,$E$2:E4,E4,$D$2:D4,D4)=2,
          INDEX([1]DB!$B:$B,MATCH($E4,[1]DB!$D:$D,0)),
          INDEX([1]DB!$C:$C,MATCH($E4,[1]DB!$D:$D,0))
        )
      ),
      IF(
        COUNTIFS($C$2:C4,C4,$E$2:E4,E4,$D$2:D4,D4)=1,
        INDEX([1]DB!$A:$A,MATCH($E4,[1]DB!$D:$D,0)),
        IF(
          COUNTIFS($C$2:C4,C4,$E$2:E4,E4,$D$2:D4,D4)=2,
          INDEX([1]DB!$B:$B,MATCH($E4,[1]DB!$D:$D,0)),
          INDEX([1]DB!$C:$C,MATCH($E4,[1]DB!$D:$D,0))
        )
      )
    )
  ),
  0
)</f>
        <v>10</v>
      </c>
      <c r="L4" s="9">
        <f>IFERROR(
  IF(
    D4&lt;&gt;"Geoffroy",
    0,
    IF(
      C4="",
      IF(
        COUNTIFS($B$2:B4,B4,$E$2:E4,E4,$D$2:D4,D4)=1,
        INDEX([1]DB!$A:$A,MATCH($E4,[1]DB!$D:$D,0)),
        IF(
          COUNTIFS($B$2:B4,B4,$E$2:E4,E4,$D$2:D4,D4)=2,
          INDEX([1]DB!$B:$B,MATCH($E4,[1]DB!$D:$D,0)),
          INDEX([1]DB!$C:$C,MATCH($E4,[1]DB!$D:$D,0))
        )
      ),
      IF(
        COUNTIFS($C$2:C4,C4,$E$2:E4,E4,$D$2:D4,D4)=1,
        INDEX([1]DB!$A:$A,MATCH($E4,[1]DB!$D:$D,0)),
        IF(
          COUNTIFS($C$2:C4,C4,$E$2:E4,E4,$D$2:D4,D4)=2,
          INDEX([1]DB!$B:$B,MATCH($E4,[1]DB!$D:$D,0)),
          INDEX([1]DB!$C:$C,MATCH($E4,[1]DB!$D:$D,0))
        )
      )
    )
  ),
  0
)</f>
        <v>0</v>
      </c>
      <c r="M4" s="9">
        <f>IFERROR(
  IF(
    D4&lt;&gt;"Tiphaine",
    0,
    IF(
      C4="",
      IF(
        COUNTIFS($B$2:B4,B4,$E$2:E4,E4,$D$2:D4,D4)=1,
        INDEX([1]DB!$A:$A,MATCH($E4,[1]DB!$D:$D,0)),
        IF(
          COUNTIFS($B$2:B4,B4,$E$2:E4,E4,$D$2:D4,D4)=2,
          INDEX([1]DB!$B:$B,MATCH($E4,[1]DB!$D:$D,0)),
          INDEX([1]DB!$C:$C,MATCH($E4,[1]DB!$D:$D,0))
        )
      ),
      IF(
        COUNTIFS($C$2:C4,C4,$E$2:E4,E4,$D$2:D4,D4)=1,
        INDEX([1]DB!$A:$A,MATCH($E4,[1]DB!$D:$D,0)),
        IF(
          COUNTIFS($C$2:C4,C4,$E$2:E4,E4,$D$2:D4,D4)=2,
          INDEX([1]DB!$B:$B,MATCH($E4,[1]DB!$D:$D,0)),
          INDEX([1]DB!$C:$C,MATCH($E4,[1]DB!$D:$D,0))
        )
      )
    )
  ),
  0
)</f>
        <v>0</v>
      </c>
      <c r="N4" s="9">
        <f>IFERROR(
  IF(
    D4&lt;&gt;"Catherine",
    0,
    IF(
      C4="",
      IF(
        COUNTIFS($B$2:B4,B4,$E$2:E4,E4,$D$2:D4,D4)=1,
        INDEX([1]DB!$A:$A,MATCH($E4,[1]DB!$D:$D,0)),
        IF(
          COUNTIFS($B$2:B4,B4,$E$2:E4,E4,$D$2:D4,D4)=2,
          INDEX([1]DB!$B:$B,MATCH($E4,[1]DB!$D:$D,0)),
          INDEX([1]DB!$C:$C,MATCH($E4,[1]DB!$D:$D,0))
        )
      ),
      IF(
        COUNTIFS($C$2:C4,C4,$E$2:E4,E4,$D$2:D4,D4)=1,
        INDEX([1]DB!$A:$A,MATCH($E4,[1]DB!$D:$D,0)),
        IF(
          COUNTIFS($C$2:C4,C4,$E$2:E4,E4,$D$2:D4,D4)=2,
          INDEX([1]DB!$B:$B,MATCH($E4,[1]DB!$D:$D,0)),
          INDEX([1]DB!$C:$C,MATCH($E4,[1]DB!$D:$D,0))
        )
      )
    )
  ),
  0
)</f>
        <v>0</v>
      </c>
      <c r="O4" s="5" t="str">
        <f>IF(DAY(A4)&lt;=15,UPPER(LEFT(TEXT(A4,"mmmm"),1))&amp;RIGHT(TEXT(A4,"mmmm"),LEN(TEXT(A4,"mmmm"))-1),UPPER(LEFT(TEXT(DATE(YEAR(A4),MONTH(A4)+1,1),"mmmm"),1))&amp;RIGHT(TEXT(DATE(YEAR(A4),MONTH(A4)+1,1),"mmmm"),LEN(TEXT(DATE(YEAR(A4),MONTH(A4)+1,1),"mmmm"))-1))</f>
        <v>Janvier</v>
      </c>
      <c r="P4" s="6" t="str">
        <f ca="1">IF(AND(A4&lt;=TODAY(),F4&lt;&gt;""),"OK","NON")</f>
        <v>OK</v>
      </c>
      <c r="S4" s="22" t="s">
        <v>138</v>
      </c>
      <c r="T4" s="25">
        <v>1</v>
      </c>
      <c r="U4" s="25">
        <v>0</v>
      </c>
      <c r="V4" s="25">
        <v>0</v>
      </c>
    </row>
    <row r="5" spans="1:22">
      <c r="A5" s="4">
        <v>46029</v>
      </c>
      <c r="B5" s="5" t="s">
        <v>12</v>
      </c>
      <c r="C5" s="5" t="s">
        <v>13</v>
      </c>
      <c r="D5" s="6" t="s">
        <v>14</v>
      </c>
      <c r="E5" s="6" t="s">
        <v>21</v>
      </c>
      <c r="F5" s="7">
        <v>6.56</v>
      </c>
      <c r="G5" s="8" cm="1">
        <f t="array" ref="G5">IFERROR(
  IF(D5&lt;&gt;"Cédric",
     0,
     SUMPRODUCT(
       (TRIM(SUBSTITUTE(UPPER($B$2:$B5),CHAR(160),""))=TRIM(SUBSTITUTE(UPPER(B5),CHAR(160),"")))*
       (TRIM(SUBSTITUTE(UPPER($C$2:$C5),CHAR(160),""))=TRIM(SUBSTITUTE(UPPER(C5),CHAR(160),"")))*
       (TRIM(SUBSTITUTE(UPPER($D$2:$D5),CHAR(160),""))=TRIM(SUBSTITUTE(UPPER(D5),CHAR(160),"")))*
       (TRIM(SUBSTITUTE(UPPER($E$2:$E5),CHAR(160),""))=TRIM(SUBSTITUTE(UPPER(E5),CHAR(160),"")))
     )
  ),
  0
)</f>
        <v>1</v>
      </c>
      <c r="H5" s="8" cm="1">
        <f t="array" ref="H5">IFERROR(
  IF(D5&lt;&gt;"Geoffroy",
     0,
     SUMPRODUCT(
       (TRIM(SUBSTITUTE(UPPER($B$2:$B5),CHAR(160),""))=TRIM(SUBSTITUTE(UPPER(B5),CHAR(160),"")))*
       (TRIM(SUBSTITUTE(UPPER($C$2:$C5),CHAR(160),""))=TRIM(SUBSTITUTE(UPPER(C5),CHAR(160),"")))*
       (TRIM(SUBSTITUTE(UPPER($D$2:$D5),CHAR(160),""))=TRIM(SUBSTITUTE(UPPER(D5),CHAR(160),"")))*
       (TRIM(SUBSTITUTE(UPPER($E$2:$E5),CHAR(160),""))=TRIM(SUBSTITUTE(UPPER(E5),CHAR(160),"")))
     )
  ),
  0
)</f>
        <v>0</v>
      </c>
      <c r="I5" s="8" cm="1">
        <f t="array" ref="I5">IFERROR(
  IF(D5&lt;&gt;"Tiphaine",
     0,
     SUMPRODUCT(
       (TRIM(SUBSTITUTE(UPPER($B$2:$B5),CHAR(160),""))=TRIM(SUBSTITUTE(UPPER(B5),CHAR(160),"")))*
       (TRIM(SUBSTITUTE(UPPER($C$2:$C5),CHAR(160),""))=TRIM(SUBSTITUTE(UPPER(C5),CHAR(160),"")))*
       (TRIM(SUBSTITUTE(UPPER($D$2:$D5),CHAR(160),""))=TRIM(SUBSTITUTE(UPPER(D5),CHAR(160),"")))*
       (TRIM(SUBSTITUTE(UPPER($E$2:$E5),CHAR(160),""))=TRIM(SUBSTITUTE(UPPER(E5),CHAR(160),"")))
     )
  ),
  0
)</f>
        <v>0</v>
      </c>
      <c r="J5" s="8" cm="1">
        <f t="array" ref="J5">IFERROR(
  IF(D5&lt;&gt;"Catherine",
     0,
     SUMPRODUCT(
       (TRIM(SUBSTITUTE(UPPER($B$2:$B5),CHAR(160),""))=TRIM(SUBSTITUTE(UPPER(B5),CHAR(160),"")))*
       (TRIM(SUBSTITUTE(UPPER($C$2:$C5),CHAR(160),""))=TRIM(SUBSTITUTE(UPPER(C5),CHAR(160),"")))*
       (TRIM(SUBSTITUTE(UPPER($D$2:$D5),CHAR(160),""))=TRIM(SUBSTITUTE(UPPER(D5),CHAR(160),"")))*
       (TRIM(SUBSTITUTE(UPPER($E$2:$E5),CHAR(160),""))=TRIM(SUBSTITUTE(UPPER(E5),CHAR(160),"")))
     )
  ),
  0
)</f>
        <v>0</v>
      </c>
      <c r="K5" s="9">
        <f>IFERROR(
  IF(
    D5&lt;&gt;"Cédric",
    0,
    IF(
      C5="",
      IF(
        COUNTIFS($B$2:B5,B5,$E$2:E5,E5,$D$2:D5,D5)=1,
        INDEX([1]DB!$A:$A,MATCH($E5,[1]DB!$D:$D,0)),
        IF(
          COUNTIFS($B$2:B5,B5,$E$2:E5,E5,$D$2:D5,D5)=2,
          INDEX([1]DB!$B:$B,MATCH($E5,[1]DB!$D:$D,0)),
          INDEX([1]DB!$C:$C,MATCH($E5,[1]DB!$D:$D,0))
        )
      ),
      IF(
        COUNTIFS($C$2:C5,C5,$E$2:E5,E5,$D$2:D5,D5)=1,
        INDEX([1]DB!$A:$A,MATCH($E5,[1]DB!$D:$D,0)),
        IF(
          COUNTIFS($C$2:C5,C5,$E$2:E5,E5,$D$2:D5,D5)=2,
          INDEX([1]DB!$B:$B,MATCH($E5,[1]DB!$D:$D,0)),
          INDEX([1]DB!$C:$C,MATCH($E5,[1]DB!$D:$D,0))
        )
      )
    )
  ),
  0
)</f>
        <v>75</v>
      </c>
      <c r="L5" s="9">
        <f>IFERROR(
  IF(
    D5&lt;&gt;"Geoffroy",
    0,
    IF(
      C5="",
      IF(
        COUNTIFS($B$2:B5,B5,$E$2:E5,E5,$D$2:D5,D5)=1,
        INDEX([1]DB!$A:$A,MATCH($E5,[1]DB!$D:$D,0)),
        IF(
          COUNTIFS($B$2:B5,B5,$E$2:E5,E5,$D$2:D5,D5)=2,
          INDEX([1]DB!$B:$B,MATCH($E5,[1]DB!$D:$D,0)),
          INDEX([1]DB!$C:$C,MATCH($E5,[1]DB!$D:$D,0))
        )
      ),
      IF(
        COUNTIFS($C$2:C5,C5,$E$2:E5,E5,$D$2:D5,D5)=1,
        INDEX([1]DB!$A:$A,MATCH($E5,[1]DB!$D:$D,0)),
        IF(
          COUNTIFS($C$2:C5,C5,$E$2:E5,E5,$D$2:D5,D5)=2,
          INDEX([1]DB!$B:$B,MATCH($E5,[1]DB!$D:$D,0)),
          INDEX([1]DB!$C:$C,MATCH($E5,[1]DB!$D:$D,0))
        )
      )
    )
  ),
  0
)</f>
        <v>0</v>
      </c>
      <c r="M5" s="9">
        <f>IFERROR(
  IF(
    D5&lt;&gt;"Tiphaine",
    0,
    IF(
      C5="",
      IF(
        COUNTIFS($B$2:B5,B5,$E$2:E5,E5,$D$2:D5,D5)=1,
        INDEX([1]DB!$A:$A,MATCH($E5,[1]DB!$D:$D,0)),
        IF(
          COUNTIFS($B$2:B5,B5,$E$2:E5,E5,$D$2:D5,D5)=2,
          INDEX([1]DB!$B:$B,MATCH($E5,[1]DB!$D:$D,0)),
          INDEX([1]DB!$C:$C,MATCH($E5,[1]DB!$D:$D,0))
        )
      ),
      IF(
        COUNTIFS($C$2:C5,C5,$E$2:E5,E5,$D$2:D5,D5)=1,
        INDEX([1]DB!$A:$A,MATCH($E5,[1]DB!$D:$D,0)),
        IF(
          COUNTIFS($C$2:C5,C5,$E$2:E5,E5,$D$2:D5,D5)=2,
          INDEX([1]DB!$B:$B,MATCH($E5,[1]DB!$D:$D,0)),
          INDEX([1]DB!$C:$C,MATCH($E5,[1]DB!$D:$D,0))
        )
      )
    )
  ),
  0
)</f>
        <v>0</v>
      </c>
      <c r="N5" s="9">
        <f>IFERROR(
  IF(
    D5&lt;&gt;"Catherine",
    0,
    IF(
      C5="",
      IF(
        COUNTIFS($B$2:B5,B5,$E$2:E5,E5,$D$2:D5,D5)=1,
        INDEX([1]DB!$A:$A,MATCH($E5,[1]DB!$D:$D,0)),
        IF(
          COUNTIFS($B$2:B5,B5,$E$2:E5,E5,$D$2:D5,D5)=2,
          INDEX([1]DB!$B:$B,MATCH($E5,[1]DB!$D:$D,0)),
          INDEX([1]DB!$C:$C,MATCH($E5,[1]DB!$D:$D,0))
        )
      ),
      IF(
        COUNTIFS($C$2:C5,C5,$E$2:E5,E5,$D$2:D5,D5)=1,
        INDEX([1]DB!$A:$A,MATCH($E5,[1]DB!$D:$D,0)),
        IF(
          COUNTIFS($C$2:C5,C5,$E$2:E5,E5,$D$2:D5,D5)=2,
          INDEX([1]DB!$B:$B,MATCH($E5,[1]DB!$D:$D,0)),
          INDEX([1]DB!$C:$C,MATCH($E5,[1]DB!$D:$D,0))
        )
      )
    )
  ),
  0
)</f>
        <v>0</v>
      </c>
      <c r="O5" s="5" t="str">
        <f>IF(DAY(A5)&lt;=15,UPPER(LEFT(TEXT(A5,"mmmm"),1))&amp;RIGHT(TEXT(A5,"mmmm"),LEN(TEXT(A5,"mmmm"))-1),UPPER(LEFT(TEXT(DATE(YEAR(A5),MONTH(A5)+1,1),"mmmm"),1))&amp;RIGHT(TEXT(DATE(YEAR(A5),MONTH(A5)+1,1),"mmmm"),LEN(TEXT(DATE(YEAR(A5),MONTH(A5)+1,1),"mmmm"))-1))</f>
        <v>Janvier</v>
      </c>
      <c r="P5" s="6" t="str">
        <f ca="1">IF(AND(A5&lt;=TODAY(),F5&lt;&gt;""),"OK","NON")</f>
        <v>OK</v>
      </c>
      <c r="S5" s="22" t="s">
        <v>139</v>
      </c>
      <c r="T5" s="25">
        <v>1</v>
      </c>
      <c r="U5" s="25">
        <v>0</v>
      </c>
      <c r="V5" s="25">
        <v>0</v>
      </c>
    </row>
    <row r="6" spans="1:22">
      <c r="A6" s="4">
        <v>46030</v>
      </c>
      <c r="B6" s="5" t="s">
        <v>22</v>
      </c>
      <c r="C6" s="5" t="s">
        <v>23</v>
      </c>
      <c r="D6" s="6" t="s">
        <v>14</v>
      </c>
      <c r="E6" s="6" t="s">
        <v>18</v>
      </c>
      <c r="F6" s="7">
        <v>7.83</v>
      </c>
      <c r="G6" s="8" cm="1">
        <f t="array" ref="G6">IFERROR(
  IF(D6&lt;&gt;"Cédric",
     0,
     SUMPRODUCT(
       (TRIM(SUBSTITUTE(UPPER($B$2:$B6),CHAR(160),""))=TRIM(SUBSTITUTE(UPPER(B6),CHAR(160),"")))*
       (TRIM(SUBSTITUTE(UPPER($C$2:$C6),CHAR(160),""))=TRIM(SUBSTITUTE(UPPER(C6),CHAR(160),"")))*
       (TRIM(SUBSTITUTE(UPPER($D$2:$D6),CHAR(160),""))=TRIM(SUBSTITUTE(UPPER(D6),CHAR(160),"")))*
       (TRIM(SUBSTITUTE(UPPER($E$2:$E6),CHAR(160),""))=TRIM(SUBSTITUTE(UPPER(E6),CHAR(160),"")))
     )
  ),
  0
)</f>
        <v>1</v>
      </c>
      <c r="H6" s="8" cm="1">
        <f t="array" ref="H6">IFERROR(
  IF(D6&lt;&gt;"Geoffroy",
     0,
     SUMPRODUCT(
       (TRIM(SUBSTITUTE(UPPER($B$2:$B6),CHAR(160),""))=TRIM(SUBSTITUTE(UPPER(B6),CHAR(160),"")))*
       (TRIM(SUBSTITUTE(UPPER($C$2:$C6),CHAR(160),""))=TRIM(SUBSTITUTE(UPPER(C6),CHAR(160),"")))*
       (TRIM(SUBSTITUTE(UPPER($D$2:$D6),CHAR(160),""))=TRIM(SUBSTITUTE(UPPER(D6),CHAR(160),"")))*
       (TRIM(SUBSTITUTE(UPPER($E$2:$E6),CHAR(160),""))=TRIM(SUBSTITUTE(UPPER(E6),CHAR(160),"")))
     )
  ),
  0
)</f>
        <v>0</v>
      </c>
      <c r="I6" s="8" cm="1">
        <f t="array" ref="I6">IFERROR(
  IF(D6&lt;&gt;"Tiphaine",
     0,
     SUMPRODUCT(
       (TRIM(SUBSTITUTE(UPPER($B$2:$B6),CHAR(160),""))=TRIM(SUBSTITUTE(UPPER(B6),CHAR(160),"")))*
       (TRIM(SUBSTITUTE(UPPER($C$2:$C6),CHAR(160),""))=TRIM(SUBSTITUTE(UPPER(C6),CHAR(160),"")))*
       (TRIM(SUBSTITUTE(UPPER($D$2:$D6),CHAR(160),""))=TRIM(SUBSTITUTE(UPPER(D6),CHAR(160),"")))*
       (TRIM(SUBSTITUTE(UPPER($E$2:$E6),CHAR(160),""))=TRIM(SUBSTITUTE(UPPER(E6),CHAR(160),"")))
     )
  ),
  0
)</f>
        <v>0</v>
      </c>
      <c r="J6" s="8" cm="1">
        <f t="array" ref="J6">IFERROR(
  IF(D6&lt;&gt;"Catherine",
     0,
     SUMPRODUCT(
       (TRIM(SUBSTITUTE(UPPER($B$2:$B6),CHAR(160),""))=TRIM(SUBSTITUTE(UPPER(B6),CHAR(160),"")))*
       (TRIM(SUBSTITUTE(UPPER($C$2:$C6),CHAR(160),""))=TRIM(SUBSTITUTE(UPPER(C6),CHAR(160),"")))*
       (TRIM(SUBSTITUTE(UPPER($D$2:$D6),CHAR(160),""))=TRIM(SUBSTITUTE(UPPER(D6),CHAR(160),"")))*
       (TRIM(SUBSTITUTE(UPPER($E$2:$E6),CHAR(160),""))=TRIM(SUBSTITUTE(UPPER(E6),CHAR(160),"")))
     )
  ),
  0
)</f>
        <v>0</v>
      </c>
      <c r="K6" s="9">
        <f>IFERROR(
  IF(
    D6&lt;&gt;"Cédric",
    0,
    IF(
      C6="",
      IF(
        COUNTIFS($B$2:B6,B6,$E$2:E6,E6,$D$2:D6,D6)=1,
        INDEX([1]DB!$A:$A,MATCH($E6,[1]DB!$D:$D,0)),
        IF(
          COUNTIFS($B$2:B6,B6,$E$2:E6,E6,$D$2:D6,D6)=2,
          INDEX([1]DB!$B:$B,MATCH($E6,[1]DB!$D:$D,0)),
          INDEX([1]DB!$C:$C,MATCH($E6,[1]DB!$D:$D,0))
        )
      ),
      IF(
        COUNTIFS($C$2:C6,C6,$E$2:E6,E6,$D$2:D6,D6)=1,
        INDEX([1]DB!$A:$A,MATCH($E6,[1]DB!$D:$D,0)),
        IF(
          COUNTIFS($C$2:C6,C6,$E$2:E6,E6,$D$2:D6,D6)=2,
          INDEX([1]DB!$B:$B,MATCH($E6,[1]DB!$D:$D,0)),
          INDEX([1]DB!$C:$C,MATCH($E6,[1]DB!$D:$D,0))
        )
      )
    )
  ),
  0
)</f>
        <v>10</v>
      </c>
      <c r="L6" s="9">
        <f>IFERROR(
  IF(
    D6&lt;&gt;"Geoffroy",
    0,
    IF(
      C6="",
      IF(
        COUNTIFS($B$2:B6,B6,$E$2:E6,E6,$D$2:D6,D6)=1,
        INDEX([1]DB!$A:$A,MATCH($E6,[1]DB!$D:$D,0)),
        IF(
          COUNTIFS($B$2:B6,B6,$E$2:E6,E6,$D$2:D6,D6)=2,
          INDEX([1]DB!$B:$B,MATCH($E6,[1]DB!$D:$D,0)),
          INDEX([1]DB!$C:$C,MATCH($E6,[1]DB!$D:$D,0))
        )
      ),
      IF(
        COUNTIFS($C$2:C6,C6,$E$2:E6,E6,$D$2:D6,D6)=1,
        INDEX([1]DB!$A:$A,MATCH($E6,[1]DB!$D:$D,0)),
        IF(
          COUNTIFS($C$2:C6,C6,$E$2:E6,E6,$D$2:D6,D6)=2,
          INDEX([1]DB!$B:$B,MATCH($E6,[1]DB!$D:$D,0)),
          INDEX([1]DB!$C:$C,MATCH($E6,[1]DB!$D:$D,0))
        )
      )
    )
  ),
  0
)</f>
        <v>0</v>
      </c>
      <c r="M6" s="9">
        <f>IFERROR(
  IF(
    D6&lt;&gt;"Tiphaine",
    0,
    IF(
      C6="",
      IF(
        COUNTIFS($B$2:B6,B6,$E$2:E6,E6,$D$2:D6,D6)=1,
        INDEX([1]DB!$A:$A,MATCH($E6,[1]DB!$D:$D,0)),
        IF(
          COUNTIFS($B$2:B6,B6,$E$2:E6,E6,$D$2:D6,D6)=2,
          INDEX([1]DB!$B:$B,MATCH($E6,[1]DB!$D:$D,0)),
          INDEX([1]DB!$C:$C,MATCH($E6,[1]DB!$D:$D,0))
        )
      ),
      IF(
        COUNTIFS($C$2:C6,C6,$E$2:E6,E6,$D$2:D6,D6)=1,
        INDEX([1]DB!$A:$A,MATCH($E6,[1]DB!$D:$D,0)),
        IF(
          COUNTIFS($C$2:C6,C6,$E$2:E6,E6,$D$2:D6,D6)=2,
          INDEX([1]DB!$B:$B,MATCH($E6,[1]DB!$D:$D,0)),
          INDEX([1]DB!$C:$C,MATCH($E6,[1]DB!$D:$D,0))
        )
      )
    )
  ),
  0
)</f>
        <v>0</v>
      </c>
      <c r="N6" s="9">
        <f>IFERROR(
  IF(
    D6&lt;&gt;"Catherine",
    0,
    IF(
      C6="",
      IF(
        COUNTIFS($B$2:B6,B6,$E$2:E6,E6,$D$2:D6,D6)=1,
        INDEX([1]DB!$A:$A,MATCH($E6,[1]DB!$D:$D,0)),
        IF(
          COUNTIFS($B$2:B6,B6,$E$2:E6,E6,$D$2:D6,D6)=2,
          INDEX([1]DB!$B:$B,MATCH($E6,[1]DB!$D:$D,0)),
          INDEX([1]DB!$C:$C,MATCH($E6,[1]DB!$D:$D,0))
        )
      ),
      IF(
        COUNTIFS($C$2:C6,C6,$E$2:E6,E6,$D$2:D6,D6)=1,
        INDEX([1]DB!$A:$A,MATCH($E6,[1]DB!$D:$D,0)),
        IF(
          COUNTIFS($C$2:C6,C6,$E$2:E6,E6,$D$2:D6,D6)=2,
          INDEX([1]DB!$B:$B,MATCH($E6,[1]DB!$D:$D,0)),
          INDEX([1]DB!$C:$C,MATCH($E6,[1]DB!$D:$D,0))
        )
      )
    )
  ),
  0
)</f>
        <v>0</v>
      </c>
      <c r="O6" s="5" t="str">
        <f>IF(DAY(A6)&lt;=15,UPPER(LEFT(TEXT(A6,"mmmm"),1))&amp;RIGHT(TEXT(A6,"mmmm"),LEN(TEXT(A6,"mmmm"))-1),UPPER(LEFT(TEXT(DATE(YEAR(A6),MONTH(A6)+1,1),"mmmm"),1))&amp;RIGHT(TEXT(DATE(YEAR(A6),MONTH(A6)+1,1),"mmmm"),LEN(TEXT(DATE(YEAR(A6),MONTH(A6)+1,1),"mmmm"))-1))</f>
        <v>Janvier</v>
      </c>
      <c r="P6" s="6" t="str">
        <f ca="1">IF(AND(A6&lt;=TODAY(),F6&lt;&gt;""),"OK","NON")</f>
        <v>OK</v>
      </c>
      <c r="S6" s="22" t="s">
        <v>140</v>
      </c>
      <c r="T6" s="25">
        <f>SUM(T2:T5)</f>
        <v>150</v>
      </c>
      <c r="U6" s="25">
        <v>0</v>
      </c>
      <c r="V6" s="25">
        <v>0</v>
      </c>
    </row>
    <row r="7" spans="1:22">
      <c r="A7" s="4">
        <v>46030</v>
      </c>
      <c r="B7" s="5" t="s">
        <v>24</v>
      </c>
      <c r="C7" s="5" t="s">
        <v>25</v>
      </c>
      <c r="D7" s="6" t="s">
        <v>14</v>
      </c>
      <c r="E7" s="6" t="s">
        <v>18</v>
      </c>
      <c r="F7" s="7">
        <v>6.52</v>
      </c>
      <c r="G7" s="8" cm="1">
        <f t="array" ref="G7">IFERROR(
  IF(D7&lt;&gt;"Cédric",
     0,
     SUMPRODUCT(
       (TRIM(SUBSTITUTE(UPPER($B$2:$B7),CHAR(160),""))=TRIM(SUBSTITUTE(UPPER(B7),CHAR(160),"")))*
       (TRIM(SUBSTITUTE(UPPER($C$2:$C7),CHAR(160),""))=TRIM(SUBSTITUTE(UPPER(C7),CHAR(160),"")))*
       (TRIM(SUBSTITUTE(UPPER($D$2:$D7),CHAR(160),""))=TRIM(SUBSTITUTE(UPPER(D7),CHAR(160),"")))*
       (TRIM(SUBSTITUTE(UPPER($E$2:$E7),CHAR(160),""))=TRIM(SUBSTITUTE(UPPER(E7),CHAR(160),"")))
     )
  ),
  0
)</f>
        <v>1</v>
      </c>
      <c r="H7" s="8" cm="1">
        <f t="array" ref="H7">IFERROR(
  IF(D7&lt;&gt;"Geoffroy",
     0,
     SUMPRODUCT(
       (TRIM(SUBSTITUTE(UPPER($B$2:$B7),CHAR(160),""))=TRIM(SUBSTITUTE(UPPER(B7),CHAR(160),"")))*
       (TRIM(SUBSTITUTE(UPPER($C$2:$C7),CHAR(160),""))=TRIM(SUBSTITUTE(UPPER(C7),CHAR(160),"")))*
       (TRIM(SUBSTITUTE(UPPER($D$2:$D7),CHAR(160),""))=TRIM(SUBSTITUTE(UPPER(D7),CHAR(160),"")))*
       (TRIM(SUBSTITUTE(UPPER($E$2:$E7),CHAR(160),""))=TRIM(SUBSTITUTE(UPPER(E7),CHAR(160),"")))
     )
  ),
  0
)</f>
        <v>0</v>
      </c>
      <c r="I7" s="8" cm="1">
        <f t="array" ref="I7">IFERROR(
  IF(D7&lt;&gt;"Tiphaine",
     0,
     SUMPRODUCT(
       (TRIM(SUBSTITUTE(UPPER($B$2:$B7),CHAR(160),""))=TRIM(SUBSTITUTE(UPPER(B7),CHAR(160),"")))*
       (TRIM(SUBSTITUTE(UPPER($C$2:$C7),CHAR(160),""))=TRIM(SUBSTITUTE(UPPER(C7),CHAR(160),"")))*
       (TRIM(SUBSTITUTE(UPPER($D$2:$D7),CHAR(160),""))=TRIM(SUBSTITUTE(UPPER(D7),CHAR(160),"")))*
       (TRIM(SUBSTITUTE(UPPER($E$2:$E7),CHAR(160),""))=TRIM(SUBSTITUTE(UPPER(E7),CHAR(160),"")))
     )
  ),
  0
)</f>
        <v>0</v>
      </c>
      <c r="J7" s="8" cm="1">
        <f t="array" ref="J7">IFERROR(
  IF(D7&lt;&gt;"Catherine",
     0,
     SUMPRODUCT(
       (TRIM(SUBSTITUTE(UPPER($B$2:$B7),CHAR(160),""))=TRIM(SUBSTITUTE(UPPER(B7),CHAR(160),"")))*
       (TRIM(SUBSTITUTE(UPPER($C$2:$C7),CHAR(160),""))=TRIM(SUBSTITUTE(UPPER(C7),CHAR(160),"")))*
       (TRIM(SUBSTITUTE(UPPER($D$2:$D7),CHAR(160),""))=TRIM(SUBSTITUTE(UPPER(D7),CHAR(160),"")))*
       (TRIM(SUBSTITUTE(UPPER($E$2:$E7),CHAR(160),""))=TRIM(SUBSTITUTE(UPPER(E7),CHAR(160),"")))
     )
  ),
  0
)</f>
        <v>0</v>
      </c>
      <c r="K7" s="9">
        <f>IFERROR(
  IF(
    D7&lt;&gt;"Cédric",
    0,
    IF(
      C7="",
      IF(
        COUNTIFS($B$2:B7,B7,$E$2:E7,E7,$D$2:D7,D7)=1,
        INDEX([1]DB!$A:$A,MATCH($E7,[1]DB!$D:$D,0)),
        IF(
          COUNTIFS($B$2:B7,B7,$E$2:E7,E7,$D$2:D7,D7)=2,
          INDEX([1]DB!$B:$B,MATCH($E7,[1]DB!$D:$D,0)),
          INDEX([1]DB!$C:$C,MATCH($E7,[1]DB!$D:$D,0))
        )
      ),
      IF(
        COUNTIFS($C$2:C7,C7,$E$2:E7,E7,$D$2:D7,D7)=1,
        INDEX([1]DB!$A:$A,MATCH($E7,[1]DB!$D:$D,0)),
        IF(
          COUNTIFS($C$2:C7,C7,$E$2:E7,E7,$D$2:D7,D7)=2,
          INDEX([1]DB!$B:$B,MATCH($E7,[1]DB!$D:$D,0)),
          INDEX([1]DB!$C:$C,MATCH($E7,[1]DB!$D:$D,0))
        )
      )
    )
  ),
  0
)</f>
        <v>10</v>
      </c>
      <c r="L7" s="9">
        <f>IFERROR(
  IF(
    D7&lt;&gt;"Geoffroy",
    0,
    IF(
      C7="",
      IF(
        COUNTIFS($B$2:B7,B7,$E$2:E7,E7,$D$2:D7,D7)=1,
        INDEX([1]DB!$A:$A,MATCH($E7,[1]DB!$D:$D,0)),
        IF(
          COUNTIFS($B$2:B7,B7,$E$2:E7,E7,$D$2:D7,D7)=2,
          INDEX([1]DB!$B:$B,MATCH($E7,[1]DB!$D:$D,0)),
          INDEX([1]DB!$C:$C,MATCH($E7,[1]DB!$D:$D,0))
        )
      ),
      IF(
        COUNTIFS($C$2:C7,C7,$E$2:E7,E7,$D$2:D7,D7)=1,
        INDEX([1]DB!$A:$A,MATCH($E7,[1]DB!$D:$D,0)),
        IF(
          COUNTIFS($C$2:C7,C7,$E$2:E7,E7,$D$2:D7,D7)=2,
          INDEX([1]DB!$B:$B,MATCH($E7,[1]DB!$D:$D,0)),
          INDEX([1]DB!$C:$C,MATCH($E7,[1]DB!$D:$D,0))
        )
      )
    )
  ),
  0
)</f>
        <v>0</v>
      </c>
      <c r="M7" s="9">
        <f>IFERROR(
  IF(
    D7&lt;&gt;"Tiphaine",
    0,
    IF(
      C7="",
      IF(
        COUNTIFS($B$2:B7,B7,$E$2:E7,E7,$D$2:D7,D7)=1,
        INDEX([1]DB!$A:$A,MATCH($E7,[1]DB!$D:$D,0)),
        IF(
          COUNTIFS($B$2:B7,B7,$E$2:E7,E7,$D$2:D7,D7)=2,
          INDEX([1]DB!$B:$B,MATCH($E7,[1]DB!$D:$D,0)),
          INDEX([1]DB!$C:$C,MATCH($E7,[1]DB!$D:$D,0))
        )
      ),
      IF(
        COUNTIFS($C$2:C7,C7,$E$2:E7,E7,$D$2:D7,D7)=1,
        INDEX([1]DB!$A:$A,MATCH($E7,[1]DB!$D:$D,0)),
        IF(
          COUNTIFS($C$2:C7,C7,$E$2:E7,E7,$D$2:D7,D7)=2,
          INDEX([1]DB!$B:$B,MATCH($E7,[1]DB!$D:$D,0)),
          INDEX([1]DB!$C:$C,MATCH($E7,[1]DB!$D:$D,0))
        )
      )
    )
  ),
  0
)</f>
        <v>0</v>
      </c>
      <c r="N7" s="9">
        <f>IFERROR(
  IF(
    D7&lt;&gt;"Catherine",
    0,
    IF(
      C7="",
      IF(
        COUNTIFS($B$2:B7,B7,$E$2:E7,E7,$D$2:D7,D7)=1,
        INDEX([1]DB!$A:$A,MATCH($E7,[1]DB!$D:$D,0)),
        IF(
          COUNTIFS($B$2:B7,B7,$E$2:E7,E7,$D$2:D7,D7)=2,
          INDEX([1]DB!$B:$B,MATCH($E7,[1]DB!$D:$D,0)),
          INDEX([1]DB!$C:$C,MATCH($E7,[1]DB!$D:$D,0))
        )
      ),
      IF(
        COUNTIFS($C$2:C7,C7,$E$2:E7,E7,$D$2:D7,D7)=1,
        INDEX([1]DB!$A:$A,MATCH($E7,[1]DB!$D:$D,0)),
        IF(
          COUNTIFS($C$2:C7,C7,$E$2:E7,E7,$D$2:D7,D7)=2,
          INDEX([1]DB!$B:$B,MATCH($E7,[1]DB!$D:$D,0)),
          INDEX([1]DB!$C:$C,MATCH($E7,[1]DB!$D:$D,0))
        )
      )
    )
  ),
  0
)</f>
        <v>0</v>
      </c>
      <c r="O7" s="5" t="str">
        <f>IF(DAY(A7)&lt;=15,UPPER(LEFT(TEXT(A7,"mmmm"),1))&amp;RIGHT(TEXT(A7,"mmmm"),LEN(TEXT(A7,"mmmm"))-1),UPPER(LEFT(TEXT(DATE(YEAR(A7),MONTH(A7)+1,1),"mmmm"),1))&amp;RIGHT(TEXT(DATE(YEAR(A7),MONTH(A7)+1,1),"mmmm"),LEN(TEXT(DATE(YEAR(A7),MONTH(A7)+1,1),"mmmm"))-1))</f>
        <v>Janvier</v>
      </c>
      <c r="P7" s="6" t="str">
        <f ca="1">IF(AND(A7&lt;=TODAY(),F7&lt;&gt;""),"OK","NON")</f>
        <v>OK</v>
      </c>
    </row>
    <row r="8" spans="1:22">
      <c r="A8" s="4">
        <v>46030</v>
      </c>
      <c r="B8" s="5" t="s">
        <v>12</v>
      </c>
      <c r="C8" s="5" t="s">
        <v>26</v>
      </c>
      <c r="D8" s="6" t="s">
        <v>14</v>
      </c>
      <c r="E8" s="6" t="s">
        <v>27</v>
      </c>
      <c r="F8" s="7">
        <v>8.4</v>
      </c>
      <c r="G8" s="8" cm="1">
        <f t="array" ref="G8">IFERROR(
  IF(D8&lt;&gt;"Cédric",
     0,
     SUMPRODUCT(
       (TRIM(SUBSTITUTE(UPPER($B$2:$B8),CHAR(160),""))=TRIM(SUBSTITUTE(UPPER(B8),CHAR(160),"")))*
       (TRIM(SUBSTITUTE(UPPER($C$2:$C8),CHAR(160),""))=TRIM(SUBSTITUTE(UPPER(C8),CHAR(160),"")))*
       (TRIM(SUBSTITUTE(UPPER($D$2:$D8),CHAR(160),""))=TRIM(SUBSTITUTE(UPPER(D8),CHAR(160),"")))*
       (TRIM(SUBSTITUTE(UPPER($E$2:$E8),CHAR(160),""))=TRIM(SUBSTITUTE(UPPER(E8),CHAR(160),"")))
     )
  ),
  0
)</f>
        <v>1</v>
      </c>
      <c r="H8" s="8" cm="1">
        <f t="array" ref="H8">IFERROR(
  IF(D8&lt;&gt;"Geoffroy",
     0,
     SUMPRODUCT(
       (TRIM(SUBSTITUTE(UPPER($B$2:$B8),CHAR(160),""))=TRIM(SUBSTITUTE(UPPER(B8),CHAR(160),"")))*
       (TRIM(SUBSTITUTE(UPPER($C$2:$C8),CHAR(160),""))=TRIM(SUBSTITUTE(UPPER(C8),CHAR(160),"")))*
       (TRIM(SUBSTITUTE(UPPER($D$2:$D8),CHAR(160),""))=TRIM(SUBSTITUTE(UPPER(D8),CHAR(160),"")))*
       (TRIM(SUBSTITUTE(UPPER($E$2:$E8),CHAR(160),""))=TRIM(SUBSTITUTE(UPPER(E8),CHAR(160),"")))
     )
  ),
  0
)</f>
        <v>0</v>
      </c>
      <c r="I8" s="8" cm="1">
        <f t="array" ref="I8">IFERROR(
  IF(D8&lt;&gt;"Tiphaine",
     0,
     SUMPRODUCT(
       (TRIM(SUBSTITUTE(UPPER($B$2:$B8),CHAR(160),""))=TRIM(SUBSTITUTE(UPPER(B8),CHAR(160),"")))*
       (TRIM(SUBSTITUTE(UPPER($C$2:$C8),CHAR(160),""))=TRIM(SUBSTITUTE(UPPER(C8),CHAR(160),"")))*
       (TRIM(SUBSTITUTE(UPPER($D$2:$D8),CHAR(160),""))=TRIM(SUBSTITUTE(UPPER(D8),CHAR(160),"")))*
       (TRIM(SUBSTITUTE(UPPER($E$2:$E8),CHAR(160),""))=TRIM(SUBSTITUTE(UPPER(E8),CHAR(160),"")))
     )
  ),
  0
)</f>
        <v>0</v>
      </c>
      <c r="J8" s="8" cm="1">
        <f t="array" ref="J8">IFERROR(
  IF(D8&lt;&gt;"Catherine",
     0,
     SUMPRODUCT(
       (TRIM(SUBSTITUTE(UPPER($B$2:$B8),CHAR(160),""))=TRIM(SUBSTITUTE(UPPER(B8),CHAR(160),"")))*
       (TRIM(SUBSTITUTE(UPPER($C$2:$C8),CHAR(160),""))=TRIM(SUBSTITUTE(UPPER(C8),CHAR(160),"")))*
       (TRIM(SUBSTITUTE(UPPER($D$2:$D8),CHAR(160),""))=TRIM(SUBSTITUTE(UPPER(D8),CHAR(160),"")))*
       (TRIM(SUBSTITUTE(UPPER($E$2:$E8),CHAR(160),""))=TRIM(SUBSTITUTE(UPPER(E8),CHAR(160),"")))
     )
  ),
  0
)</f>
        <v>0</v>
      </c>
      <c r="K8" s="9">
        <f>IFERROR(
  IF(
    D8&lt;&gt;"Cédric",
    0,
    IF(
      C8="",
      IF(
        COUNTIFS($B$2:B8,B8,$E$2:E8,E8,$D$2:D8,D8)=1,
        INDEX([1]DB!$A:$A,MATCH($E8,[1]DB!$D:$D,0)),
        IF(
          COUNTIFS($B$2:B8,B8,$E$2:E8,E8,$D$2:D8,D8)=2,
          INDEX([1]DB!$B:$B,MATCH($E8,[1]DB!$D:$D,0)),
          INDEX([1]DB!$C:$C,MATCH($E8,[1]DB!$D:$D,0))
        )
      ),
      IF(
        COUNTIFS($C$2:C8,C8,$E$2:E8,E8,$D$2:D8,D8)=1,
        INDEX([1]DB!$A:$A,MATCH($E8,[1]DB!$D:$D,0)),
        IF(
          COUNTIFS($C$2:C8,C8,$E$2:E8,E8,$D$2:D8,D8)=2,
          INDEX([1]DB!$B:$B,MATCH($E8,[1]DB!$D:$D,0)),
          INDEX([1]DB!$C:$C,MATCH($E8,[1]DB!$D:$D,0))
        )
      )
    )
  ),
  0
)</f>
        <v>75</v>
      </c>
      <c r="L8" s="9">
        <f>IFERROR(
  IF(
    D8&lt;&gt;"Geoffroy",
    0,
    IF(
      C8="",
      IF(
        COUNTIFS($B$2:B8,B8,$E$2:E8,E8,$D$2:D8,D8)=1,
        INDEX([1]DB!$A:$A,MATCH($E8,[1]DB!$D:$D,0)),
        IF(
          COUNTIFS($B$2:B8,B8,$E$2:E8,E8,$D$2:D8,D8)=2,
          INDEX([1]DB!$B:$B,MATCH($E8,[1]DB!$D:$D,0)),
          INDEX([1]DB!$C:$C,MATCH($E8,[1]DB!$D:$D,0))
        )
      ),
      IF(
        COUNTIFS($C$2:C8,C8,$E$2:E8,E8,$D$2:D8,D8)=1,
        INDEX([1]DB!$A:$A,MATCH($E8,[1]DB!$D:$D,0)),
        IF(
          COUNTIFS($C$2:C8,C8,$E$2:E8,E8,$D$2:D8,D8)=2,
          INDEX([1]DB!$B:$B,MATCH($E8,[1]DB!$D:$D,0)),
          INDEX([1]DB!$C:$C,MATCH($E8,[1]DB!$D:$D,0))
        )
      )
    )
  ),
  0
)</f>
        <v>0</v>
      </c>
      <c r="M8" s="9">
        <f>IFERROR(
  IF(
    D8&lt;&gt;"Tiphaine",
    0,
    IF(
      C8="",
      IF(
        COUNTIFS($B$2:B8,B8,$E$2:E8,E8,$D$2:D8,D8)=1,
        INDEX([1]DB!$A:$A,MATCH($E8,[1]DB!$D:$D,0)),
        IF(
          COUNTIFS($B$2:B8,B8,$E$2:E8,E8,$D$2:D8,D8)=2,
          INDEX([1]DB!$B:$B,MATCH($E8,[1]DB!$D:$D,0)),
          INDEX([1]DB!$C:$C,MATCH($E8,[1]DB!$D:$D,0))
        )
      ),
      IF(
        COUNTIFS($C$2:C8,C8,$E$2:E8,E8,$D$2:D8,D8)=1,
        INDEX([1]DB!$A:$A,MATCH($E8,[1]DB!$D:$D,0)),
        IF(
          COUNTIFS($C$2:C8,C8,$E$2:E8,E8,$D$2:D8,D8)=2,
          INDEX([1]DB!$B:$B,MATCH($E8,[1]DB!$D:$D,0)),
          INDEX([1]DB!$C:$C,MATCH($E8,[1]DB!$D:$D,0))
        )
      )
    )
  ),
  0
)</f>
        <v>0</v>
      </c>
      <c r="N8" s="9">
        <f>IFERROR(
  IF(
    D8&lt;&gt;"Catherine",
    0,
    IF(
      C8="",
      IF(
        COUNTIFS($B$2:B8,B8,$E$2:E8,E8,$D$2:D8,D8)=1,
        INDEX([1]DB!$A:$A,MATCH($E8,[1]DB!$D:$D,0)),
        IF(
          COUNTIFS($B$2:B8,B8,$E$2:E8,E8,$D$2:D8,D8)=2,
          INDEX([1]DB!$B:$B,MATCH($E8,[1]DB!$D:$D,0)),
          INDEX([1]DB!$C:$C,MATCH($E8,[1]DB!$D:$D,0))
        )
      ),
      IF(
        COUNTIFS($C$2:C8,C8,$E$2:E8,E8,$D$2:D8,D8)=1,
        INDEX([1]DB!$A:$A,MATCH($E8,[1]DB!$D:$D,0)),
        IF(
          COUNTIFS($C$2:C8,C8,$E$2:E8,E8,$D$2:D8,D8)=2,
          INDEX([1]DB!$B:$B,MATCH($E8,[1]DB!$D:$D,0)),
          INDEX([1]DB!$C:$C,MATCH($E8,[1]DB!$D:$D,0))
        )
      )
    )
  ),
  0
)</f>
        <v>0</v>
      </c>
      <c r="O8" s="5" t="str">
        <f>IF(DAY(A8)&lt;=15,UPPER(LEFT(TEXT(A8,"mmmm"),1))&amp;RIGHT(TEXT(A8,"mmmm"),LEN(TEXT(A8,"mmmm"))-1),UPPER(LEFT(TEXT(DATE(YEAR(A8),MONTH(A8)+1,1),"mmmm"),1))&amp;RIGHT(TEXT(DATE(YEAR(A8),MONTH(A8)+1,1),"mmmm"),LEN(TEXT(DATE(YEAR(A8),MONTH(A8)+1,1),"mmmm"))-1))</f>
        <v>Janvier</v>
      </c>
      <c r="P8" s="6" t="str">
        <f ca="1">IF(AND(A8&lt;=TODAY(),F8&lt;&gt;""),"OK","NON")</f>
        <v>OK</v>
      </c>
    </row>
    <row r="9" spans="1:22">
      <c r="A9" s="4">
        <v>46031</v>
      </c>
      <c r="B9" s="5" t="s">
        <v>28</v>
      </c>
      <c r="C9" s="5" t="s">
        <v>29</v>
      </c>
      <c r="D9" s="6" t="s">
        <v>14</v>
      </c>
      <c r="E9" s="6" t="s">
        <v>27</v>
      </c>
      <c r="F9" s="7">
        <v>4.32</v>
      </c>
      <c r="G9" s="8" cm="1">
        <f t="array" ref="G9">IFERROR(
  IF(D9&lt;&gt;"Cédric",
     0,
     SUMPRODUCT(
       (TRIM(SUBSTITUTE(UPPER($B$2:$B9),CHAR(160),""))=TRIM(SUBSTITUTE(UPPER(B9),CHAR(160),"")))*
       (TRIM(SUBSTITUTE(UPPER($C$2:$C9),CHAR(160),""))=TRIM(SUBSTITUTE(UPPER(C9),CHAR(160),"")))*
       (TRIM(SUBSTITUTE(UPPER($D$2:$D9),CHAR(160),""))=TRIM(SUBSTITUTE(UPPER(D9),CHAR(160),"")))*
       (TRIM(SUBSTITUTE(UPPER($E$2:$E9),CHAR(160),""))=TRIM(SUBSTITUTE(UPPER(E9),CHAR(160),"")))
     )
  ),
  0
)</f>
        <v>1</v>
      </c>
      <c r="H9" s="8" cm="1">
        <f t="array" ref="H9">IFERROR(
  IF(D9&lt;&gt;"Geoffroy",
     0,
     SUMPRODUCT(
       (TRIM(SUBSTITUTE(UPPER($B$2:$B9),CHAR(160),""))=TRIM(SUBSTITUTE(UPPER(B9),CHAR(160),"")))*
       (TRIM(SUBSTITUTE(UPPER($C$2:$C9),CHAR(160),""))=TRIM(SUBSTITUTE(UPPER(C9),CHAR(160),"")))*
       (TRIM(SUBSTITUTE(UPPER($D$2:$D9),CHAR(160),""))=TRIM(SUBSTITUTE(UPPER(D9),CHAR(160),"")))*
       (TRIM(SUBSTITUTE(UPPER($E$2:$E9),CHAR(160),""))=TRIM(SUBSTITUTE(UPPER(E9),CHAR(160),"")))
     )
  ),
  0
)</f>
        <v>0</v>
      </c>
      <c r="I9" s="8" cm="1">
        <f t="array" ref="I9">IFERROR(
  IF(D9&lt;&gt;"Tiphaine",
     0,
     SUMPRODUCT(
       (TRIM(SUBSTITUTE(UPPER($B$2:$B9),CHAR(160),""))=TRIM(SUBSTITUTE(UPPER(B9),CHAR(160),"")))*
       (TRIM(SUBSTITUTE(UPPER($C$2:$C9),CHAR(160),""))=TRIM(SUBSTITUTE(UPPER(C9),CHAR(160),"")))*
       (TRIM(SUBSTITUTE(UPPER($D$2:$D9),CHAR(160),""))=TRIM(SUBSTITUTE(UPPER(D9),CHAR(160),"")))*
       (TRIM(SUBSTITUTE(UPPER($E$2:$E9),CHAR(160),""))=TRIM(SUBSTITUTE(UPPER(E9),CHAR(160),"")))
     )
  ),
  0
)</f>
        <v>0</v>
      </c>
      <c r="J9" s="8" cm="1">
        <f t="array" ref="J9">IFERROR(
  IF(D9&lt;&gt;"Catherine",
     0,
     SUMPRODUCT(
       (TRIM(SUBSTITUTE(UPPER($B$2:$B9),CHAR(160),""))=TRIM(SUBSTITUTE(UPPER(B9),CHAR(160),"")))*
       (TRIM(SUBSTITUTE(UPPER($C$2:$C9),CHAR(160),""))=TRIM(SUBSTITUTE(UPPER(C9),CHAR(160),"")))*
       (TRIM(SUBSTITUTE(UPPER($D$2:$D9),CHAR(160),""))=TRIM(SUBSTITUTE(UPPER(D9),CHAR(160),"")))*
       (TRIM(SUBSTITUTE(UPPER($E$2:$E9),CHAR(160),""))=TRIM(SUBSTITUTE(UPPER(E9),CHAR(160),"")))
     )
  ),
  0
)</f>
        <v>0</v>
      </c>
      <c r="K9" s="9">
        <f>IFERROR(
  IF(
    D9&lt;&gt;"Cédric",
    0,
    IF(
      C9="",
      IF(
        COUNTIFS($B$2:B9,B9,$E$2:E9,E9,$D$2:D9,D9)=1,
        INDEX([1]DB!$A:$A,MATCH($E9,[1]DB!$D:$D,0)),
        IF(
          COUNTIFS($B$2:B9,B9,$E$2:E9,E9,$D$2:D9,D9)=2,
          INDEX([1]DB!$B:$B,MATCH($E9,[1]DB!$D:$D,0)),
          INDEX([1]DB!$C:$C,MATCH($E9,[1]DB!$D:$D,0))
        )
      ),
      IF(
        COUNTIFS($C$2:C9,C9,$E$2:E9,E9,$D$2:D9,D9)=1,
        INDEX([1]DB!$A:$A,MATCH($E9,[1]DB!$D:$D,0)),
        IF(
          COUNTIFS($C$2:C9,C9,$E$2:E9,E9,$D$2:D9,D9)=2,
          INDEX([1]DB!$B:$B,MATCH($E9,[1]DB!$D:$D,0)),
          INDEX([1]DB!$C:$C,MATCH($E9,[1]DB!$D:$D,0))
        )
      )
    )
  ),
  0
)</f>
        <v>75</v>
      </c>
      <c r="L9" s="9">
        <f>IFERROR(
  IF(
    D9&lt;&gt;"Geoffroy",
    0,
    IF(
      C9="",
      IF(
        COUNTIFS($B$2:B9,B9,$E$2:E9,E9,$D$2:D9,D9)=1,
        INDEX([1]DB!$A:$A,MATCH($E9,[1]DB!$D:$D,0)),
        IF(
          COUNTIFS($B$2:B9,B9,$E$2:E9,E9,$D$2:D9,D9)=2,
          INDEX([1]DB!$B:$B,MATCH($E9,[1]DB!$D:$D,0)),
          INDEX([1]DB!$C:$C,MATCH($E9,[1]DB!$D:$D,0))
        )
      ),
      IF(
        COUNTIFS($C$2:C9,C9,$E$2:E9,E9,$D$2:D9,D9)=1,
        INDEX([1]DB!$A:$A,MATCH($E9,[1]DB!$D:$D,0)),
        IF(
          COUNTIFS($C$2:C9,C9,$E$2:E9,E9,$D$2:D9,D9)=2,
          INDEX([1]DB!$B:$B,MATCH($E9,[1]DB!$D:$D,0)),
          INDEX([1]DB!$C:$C,MATCH($E9,[1]DB!$D:$D,0))
        )
      )
    )
  ),
  0
)</f>
        <v>0</v>
      </c>
      <c r="M9" s="9">
        <f>IFERROR(
  IF(
    D9&lt;&gt;"Tiphaine",
    0,
    IF(
      C9="",
      IF(
        COUNTIFS($B$2:B9,B9,$E$2:E9,E9,$D$2:D9,D9)=1,
        INDEX([1]DB!$A:$A,MATCH($E9,[1]DB!$D:$D,0)),
        IF(
          COUNTIFS($B$2:B9,B9,$E$2:E9,E9,$D$2:D9,D9)=2,
          INDEX([1]DB!$B:$B,MATCH($E9,[1]DB!$D:$D,0)),
          INDEX([1]DB!$C:$C,MATCH($E9,[1]DB!$D:$D,0))
        )
      ),
      IF(
        COUNTIFS($C$2:C9,C9,$E$2:E9,E9,$D$2:D9,D9)=1,
        INDEX([1]DB!$A:$A,MATCH($E9,[1]DB!$D:$D,0)),
        IF(
          COUNTIFS($C$2:C9,C9,$E$2:E9,E9,$D$2:D9,D9)=2,
          INDEX([1]DB!$B:$B,MATCH($E9,[1]DB!$D:$D,0)),
          INDEX([1]DB!$C:$C,MATCH($E9,[1]DB!$D:$D,0))
        )
      )
    )
  ),
  0
)</f>
        <v>0</v>
      </c>
      <c r="N9" s="9">
        <f>IFERROR(
  IF(
    D9&lt;&gt;"Catherine",
    0,
    IF(
      C9="",
      IF(
        COUNTIFS($B$2:B9,B9,$E$2:E9,E9,$D$2:D9,D9)=1,
        INDEX([1]DB!$A:$A,MATCH($E9,[1]DB!$D:$D,0)),
        IF(
          COUNTIFS($B$2:B9,B9,$E$2:E9,E9,$D$2:D9,D9)=2,
          INDEX([1]DB!$B:$B,MATCH($E9,[1]DB!$D:$D,0)),
          INDEX([1]DB!$C:$C,MATCH($E9,[1]DB!$D:$D,0))
        )
      ),
      IF(
        COUNTIFS($C$2:C9,C9,$E$2:E9,E9,$D$2:D9,D9)=1,
        INDEX([1]DB!$A:$A,MATCH($E9,[1]DB!$D:$D,0)),
        IF(
          COUNTIFS($C$2:C9,C9,$E$2:E9,E9,$D$2:D9,D9)=2,
          INDEX([1]DB!$B:$B,MATCH($E9,[1]DB!$D:$D,0)),
          INDEX([1]DB!$C:$C,MATCH($E9,[1]DB!$D:$D,0))
        )
      )
    )
  ),
  0
)</f>
        <v>0</v>
      </c>
      <c r="O9" s="5" t="str">
        <f>IF(DAY(A9)&lt;=15,UPPER(LEFT(TEXT(A9,"mmmm"),1))&amp;RIGHT(TEXT(A9,"mmmm"),LEN(TEXT(A9,"mmmm"))-1),UPPER(LEFT(TEXT(DATE(YEAR(A9),MONTH(A9)+1,1),"mmmm"),1))&amp;RIGHT(TEXT(DATE(YEAR(A9),MONTH(A9)+1,1),"mmmm"),LEN(TEXT(DATE(YEAR(A9),MONTH(A9)+1,1),"mmmm"))-1))</f>
        <v>Janvier</v>
      </c>
      <c r="P9" s="6" t="str">
        <f ca="1">IF(AND(A9&lt;=TODAY(),F9&lt;&gt;""),"OK","NON")</f>
        <v>OK</v>
      </c>
    </row>
    <row r="10" spans="1:22">
      <c r="A10" s="4">
        <v>46034</v>
      </c>
      <c r="B10" s="5" t="s">
        <v>30</v>
      </c>
      <c r="C10" s="5" t="s">
        <v>31</v>
      </c>
      <c r="D10" s="6" t="s">
        <v>32</v>
      </c>
      <c r="E10" s="6" t="s">
        <v>27</v>
      </c>
      <c r="F10" s="7">
        <v>5.0599999999999996</v>
      </c>
      <c r="G10" s="8" cm="1">
        <f t="array" ref="G10">IFERROR(
  IF(D10&lt;&gt;"Cédric",
     0,
     SUMPRODUCT(
       (TRIM(SUBSTITUTE(UPPER($B$2:$B10),CHAR(160),""))=TRIM(SUBSTITUTE(UPPER(B10),CHAR(160),"")))*
       (TRIM(SUBSTITUTE(UPPER($C$2:$C10),CHAR(160),""))=TRIM(SUBSTITUTE(UPPER(C10),CHAR(160),"")))*
       (TRIM(SUBSTITUTE(UPPER($D$2:$D10),CHAR(160),""))=TRIM(SUBSTITUTE(UPPER(D10),CHAR(160),"")))*
       (TRIM(SUBSTITUTE(UPPER($E$2:$E10),CHAR(160),""))=TRIM(SUBSTITUTE(UPPER(E10),CHAR(160),"")))
     )
  ),
  0
)</f>
        <v>0</v>
      </c>
      <c r="H10" s="8" cm="1">
        <f t="array" ref="H10">IFERROR(
  IF(D10&lt;&gt;"Geoffroy",
     0,
     SUMPRODUCT(
       (TRIM(SUBSTITUTE(UPPER($B$2:$B10),CHAR(160),""))=TRIM(SUBSTITUTE(UPPER(B10),CHAR(160),"")))*
       (TRIM(SUBSTITUTE(UPPER($C$2:$C10),CHAR(160),""))=TRIM(SUBSTITUTE(UPPER(C10),CHAR(160),"")))*
       (TRIM(SUBSTITUTE(UPPER($D$2:$D10),CHAR(160),""))=TRIM(SUBSTITUTE(UPPER(D10),CHAR(160),"")))*
       (TRIM(SUBSTITUTE(UPPER($E$2:$E10),CHAR(160),""))=TRIM(SUBSTITUTE(UPPER(E10),CHAR(160),"")))
     )
  ),
  0
)</f>
        <v>0</v>
      </c>
      <c r="I10" s="8" cm="1">
        <f t="array" ref="I10">IFERROR(
  IF(D10&lt;&gt;"Tiphaine",
     0,
     SUMPRODUCT(
       (TRIM(SUBSTITUTE(UPPER($B$2:$B10),CHAR(160),""))=TRIM(SUBSTITUTE(UPPER(B10),CHAR(160),"")))*
       (TRIM(SUBSTITUTE(UPPER($C$2:$C10),CHAR(160),""))=TRIM(SUBSTITUTE(UPPER(C10),CHAR(160),"")))*
       (TRIM(SUBSTITUTE(UPPER($D$2:$D10),CHAR(160),""))=TRIM(SUBSTITUTE(UPPER(D10),CHAR(160),"")))*
       (TRIM(SUBSTITUTE(UPPER($E$2:$E10),CHAR(160),""))=TRIM(SUBSTITUTE(UPPER(E10),CHAR(160),"")))
     )
  ),
  0
)</f>
        <v>0</v>
      </c>
      <c r="J10" s="8" cm="1">
        <f t="array" ref="J10">IFERROR(
  IF(D10&lt;&gt;"Catherine",
     0,
     SUMPRODUCT(
       (TRIM(SUBSTITUTE(UPPER($B$2:$B10),CHAR(160),""))=TRIM(SUBSTITUTE(UPPER(B10),CHAR(160),"")))*
       (TRIM(SUBSTITUTE(UPPER($C$2:$C10),CHAR(160),""))=TRIM(SUBSTITUTE(UPPER(C10),CHAR(160),"")))*
       (TRIM(SUBSTITUTE(UPPER($D$2:$D10),CHAR(160),""))=TRIM(SUBSTITUTE(UPPER(D10),CHAR(160),"")))*
       (TRIM(SUBSTITUTE(UPPER($E$2:$E10),CHAR(160),""))=TRIM(SUBSTITUTE(UPPER(E10),CHAR(160),"")))
     )
  ),
  0
)</f>
        <v>1</v>
      </c>
      <c r="K10" s="9">
        <f>IFERROR(
  IF(
    D10&lt;&gt;"Cédric",
    0,
    IF(
      C10="",
      IF(
        COUNTIFS($B$2:B10,B10,$E$2:E10,E10,$D$2:D10,D10)=1,
        INDEX([1]DB!$A:$A,MATCH($E10,[1]DB!$D:$D,0)),
        IF(
          COUNTIFS($B$2:B10,B10,$E$2:E10,E10,$D$2:D10,D10)=2,
          INDEX([1]DB!$B:$B,MATCH($E10,[1]DB!$D:$D,0)),
          INDEX([1]DB!$C:$C,MATCH($E10,[1]DB!$D:$D,0))
        )
      ),
      IF(
        COUNTIFS($C$2:C10,C10,$E$2:E10,E10,$D$2:D10,D10)=1,
        INDEX([1]DB!$A:$A,MATCH($E10,[1]DB!$D:$D,0)),
        IF(
          COUNTIFS($C$2:C10,C10,$E$2:E10,E10,$D$2:D10,D10)=2,
          INDEX([1]DB!$B:$B,MATCH($E10,[1]DB!$D:$D,0)),
          INDEX([1]DB!$C:$C,MATCH($E10,[1]DB!$D:$D,0))
        )
      )
    )
  ),
  0
)</f>
        <v>0</v>
      </c>
      <c r="L10" s="9">
        <f>IFERROR(
  IF(
    D10&lt;&gt;"Geoffroy",
    0,
    IF(
      C10="",
      IF(
        COUNTIFS($B$2:B10,B10,$E$2:E10,E10,$D$2:D10,D10)=1,
        INDEX([1]DB!$A:$A,MATCH($E10,[1]DB!$D:$D,0)),
        IF(
          COUNTIFS($B$2:B10,B10,$E$2:E10,E10,$D$2:D10,D10)=2,
          INDEX([1]DB!$B:$B,MATCH($E10,[1]DB!$D:$D,0)),
          INDEX([1]DB!$C:$C,MATCH($E10,[1]DB!$D:$D,0))
        )
      ),
      IF(
        COUNTIFS($C$2:C10,C10,$E$2:E10,E10,$D$2:D10,D10)=1,
        INDEX([1]DB!$A:$A,MATCH($E10,[1]DB!$D:$D,0)),
        IF(
          COUNTIFS($C$2:C10,C10,$E$2:E10,E10,$D$2:D10,D10)=2,
          INDEX([1]DB!$B:$B,MATCH($E10,[1]DB!$D:$D,0)),
          INDEX([1]DB!$C:$C,MATCH($E10,[1]DB!$D:$D,0))
        )
      )
    )
  ),
  0
)</f>
        <v>0</v>
      </c>
      <c r="M10" s="9">
        <f>IFERROR(
  IF(
    D10&lt;&gt;"Tiphaine",
    0,
    IF(
      C10="",
      IF(
        COUNTIFS($B$2:B10,B10,$E$2:E10,E10,$D$2:D10,D10)=1,
        INDEX([1]DB!$A:$A,MATCH($E10,[1]DB!$D:$D,0)),
        IF(
          COUNTIFS($B$2:B10,B10,$E$2:E10,E10,$D$2:D10,D10)=2,
          INDEX([1]DB!$B:$B,MATCH($E10,[1]DB!$D:$D,0)),
          INDEX([1]DB!$C:$C,MATCH($E10,[1]DB!$D:$D,0))
        )
      ),
      IF(
        COUNTIFS($C$2:C10,C10,$E$2:E10,E10,$D$2:D10,D10)=1,
        INDEX([1]DB!$A:$A,MATCH($E10,[1]DB!$D:$D,0)),
        IF(
          COUNTIFS($C$2:C10,C10,$E$2:E10,E10,$D$2:D10,D10)=2,
          INDEX([1]DB!$B:$B,MATCH($E10,[1]DB!$D:$D,0)),
          INDEX([1]DB!$C:$C,MATCH($E10,[1]DB!$D:$D,0))
        )
      )
    )
  ),
  0
)</f>
        <v>0</v>
      </c>
      <c r="N10" s="9">
        <f>IFERROR(
  IF(
    D10&lt;&gt;"Catherine",
    0,
    IF(
      C10="",
      IF(
        COUNTIFS($B$2:B10,B10,$E$2:E10,E10,$D$2:D10,D10)=1,
        INDEX([1]DB!$A:$A,MATCH($E10,[1]DB!$D:$D,0)),
        IF(
          COUNTIFS($B$2:B10,B10,$E$2:E10,E10,$D$2:D10,D10)=2,
          INDEX([1]DB!$B:$B,MATCH($E10,[1]DB!$D:$D,0)),
          INDEX([1]DB!$C:$C,MATCH($E10,[1]DB!$D:$D,0))
        )
      ),
      IF(
        COUNTIFS($C$2:C10,C10,$E$2:E10,E10,$D$2:D10,D10)=1,
        INDEX([1]DB!$A:$A,MATCH($E10,[1]DB!$D:$D,0)),
        IF(
          COUNTIFS($C$2:C10,C10,$E$2:E10,E10,$D$2:D10,D10)=2,
          INDEX([1]DB!$B:$B,MATCH($E10,[1]DB!$D:$D,0)),
          INDEX([1]DB!$C:$C,MATCH($E10,[1]DB!$D:$D,0))
        )
      )
    )
  ),
  0
)</f>
        <v>75</v>
      </c>
      <c r="O10" s="5" t="str">
        <f>IF(DAY(A10)&lt;=15,UPPER(LEFT(TEXT(A10,"mmmm"),1))&amp;RIGHT(TEXT(A10,"mmmm"),LEN(TEXT(A10,"mmmm"))-1),UPPER(LEFT(TEXT(DATE(YEAR(A10),MONTH(A10)+1,1),"mmmm"),1))&amp;RIGHT(TEXT(DATE(YEAR(A10),MONTH(A10)+1,1),"mmmm"),LEN(TEXT(DATE(YEAR(A10),MONTH(A10)+1,1),"mmmm"))-1))</f>
        <v>Janvier</v>
      </c>
      <c r="P10" s="6" t="str">
        <f ca="1">IF(AND(A10&lt;=TODAY(),F10&lt;&gt;""),"OK","NON")</f>
        <v>OK</v>
      </c>
    </row>
    <row r="11" spans="1:22">
      <c r="A11" s="4">
        <v>46035</v>
      </c>
      <c r="B11" s="5" t="s">
        <v>33</v>
      </c>
      <c r="C11" s="5" t="s">
        <v>34</v>
      </c>
      <c r="D11" s="6" t="s">
        <v>14</v>
      </c>
      <c r="E11" s="6" t="s">
        <v>15</v>
      </c>
      <c r="F11" s="7">
        <v>5.32</v>
      </c>
      <c r="G11" s="8" cm="1">
        <f t="array" ref="G11">IFERROR(
  IF(D11&lt;&gt;"Cédric",
     0,
     SUMPRODUCT(
       (TRIM(SUBSTITUTE(UPPER($B$2:$B11),CHAR(160),""))=TRIM(SUBSTITUTE(UPPER(B11),CHAR(160),"")))*
       (TRIM(SUBSTITUTE(UPPER($C$2:$C11),CHAR(160),""))=TRIM(SUBSTITUTE(UPPER(C11),CHAR(160),"")))*
       (TRIM(SUBSTITUTE(UPPER($D$2:$D11),CHAR(160),""))=TRIM(SUBSTITUTE(UPPER(D11),CHAR(160),"")))*
       (TRIM(SUBSTITUTE(UPPER($E$2:$E11),CHAR(160),""))=TRIM(SUBSTITUTE(UPPER(E11),CHAR(160),"")))
     )
  ),
  0
)</f>
        <v>1</v>
      </c>
      <c r="H11" s="8" cm="1">
        <f t="array" ref="H11">IFERROR(
  IF(D11&lt;&gt;"Geoffroy",
     0,
     SUMPRODUCT(
       (TRIM(SUBSTITUTE(UPPER($B$2:$B11),CHAR(160),""))=TRIM(SUBSTITUTE(UPPER(B11),CHAR(160),"")))*
       (TRIM(SUBSTITUTE(UPPER($C$2:$C11),CHAR(160),""))=TRIM(SUBSTITUTE(UPPER(C11),CHAR(160),"")))*
       (TRIM(SUBSTITUTE(UPPER($D$2:$D11),CHAR(160),""))=TRIM(SUBSTITUTE(UPPER(D11),CHAR(160),"")))*
       (TRIM(SUBSTITUTE(UPPER($E$2:$E11),CHAR(160),""))=TRIM(SUBSTITUTE(UPPER(E11),CHAR(160),"")))
     )
  ),
  0
)</f>
        <v>0</v>
      </c>
      <c r="I11" s="8" cm="1">
        <f t="array" ref="I11">IFERROR(
  IF(D11&lt;&gt;"Tiphaine",
     0,
     SUMPRODUCT(
       (TRIM(SUBSTITUTE(UPPER($B$2:$B11),CHAR(160),""))=TRIM(SUBSTITUTE(UPPER(B11),CHAR(160),"")))*
       (TRIM(SUBSTITUTE(UPPER($C$2:$C11),CHAR(160),""))=TRIM(SUBSTITUTE(UPPER(C11),CHAR(160),"")))*
       (TRIM(SUBSTITUTE(UPPER($D$2:$D11),CHAR(160),""))=TRIM(SUBSTITUTE(UPPER(D11),CHAR(160),"")))*
       (TRIM(SUBSTITUTE(UPPER($E$2:$E11),CHAR(160),""))=TRIM(SUBSTITUTE(UPPER(E11),CHAR(160),"")))
     )
  ),
  0
)</f>
        <v>0</v>
      </c>
      <c r="J11" s="8" cm="1">
        <f t="array" ref="J11">IFERROR(
  IF(D11&lt;&gt;"Catherine",
     0,
     SUMPRODUCT(
       (TRIM(SUBSTITUTE(UPPER($B$2:$B11),CHAR(160),""))=TRIM(SUBSTITUTE(UPPER(B11),CHAR(160),"")))*
       (TRIM(SUBSTITUTE(UPPER($C$2:$C11),CHAR(160),""))=TRIM(SUBSTITUTE(UPPER(C11),CHAR(160),"")))*
       (TRIM(SUBSTITUTE(UPPER($D$2:$D11),CHAR(160),""))=TRIM(SUBSTITUTE(UPPER(D11),CHAR(160),"")))*
       (TRIM(SUBSTITUTE(UPPER($E$2:$E11),CHAR(160),""))=TRIM(SUBSTITUTE(UPPER(E11),CHAR(160),"")))
     )
  ),
  0
)</f>
        <v>0</v>
      </c>
      <c r="K11" s="9">
        <f>IFERROR(
  IF(
    D11&lt;&gt;"Cédric",
    0,
    IF(
      C11="",
      IF(
        COUNTIFS($B$2:B11,B11,$E$2:E11,E11,$D$2:D11,D11)=1,
        INDEX([1]DB!$A:$A,MATCH($E11,[1]DB!$D:$D,0)),
        IF(
          COUNTIFS($B$2:B11,B11,$E$2:E11,E11,$D$2:D11,D11)=2,
          INDEX([1]DB!$B:$B,MATCH($E11,[1]DB!$D:$D,0)),
          INDEX([1]DB!$C:$C,MATCH($E11,[1]DB!$D:$D,0))
        )
      ),
      IF(
        COUNTIFS($C$2:C11,C11,$E$2:E11,E11,$D$2:D11,D11)=1,
        INDEX([1]DB!$A:$A,MATCH($E11,[1]DB!$D:$D,0)),
        IF(
          COUNTIFS($C$2:C11,C11,$E$2:E11,E11,$D$2:D11,D11)=2,
          INDEX([1]DB!$B:$B,MATCH($E11,[1]DB!$D:$D,0)),
          INDEX([1]DB!$C:$C,MATCH($E11,[1]DB!$D:$D,0))
        )
      )
    )
  ),
  0
)</f>
        <v>75</v>
      </c>
      <c r="L11" s="9">
        <f>IFERROR(
  IF(
    D11&lt;&gt;"Geoffroy",
    0,
    IF(
      C11="",
      IF(
        COUNTIFS($B$2:B11,B11,$E$2:E11,E11,$D$2:D11,D11)=1,
        INDEX([1]DB!$A:$A,MATCH($E11,[1]DB!$D:$D,0)),
        IF(
          COUNTIFS($B$2:B11,B11,$E$2:E11,E11,$D$2:D11,D11)=2,
          INDEX([1]DB!$B:$B,MATCH($E11,[1]DB!$D:$D,0)),
          INDEX([1]DB!$C:$C,MATCH($E11,[1]DB!$D:$D,0))
        )
      ),
      IF(
        COUNTIFS($C$2:C11,C11,$E$2:E11,E11,$D$2:D11,D11)=1,
        INDEX([1]DB!$A:$A,MATCH($E11,[1]DB!$D:$D,0)),
        IF(
          COUNTIFS($C$2:C11,C11,$E$2:E11,E11,$D$2:D11,D11)=2,
          INDEX([1]DB!$B:$B,MATCH($E11,[1]DB!$D:$D,0)),
          INDEX([1]DB!$C:$C,MATCH($E11,[1]DB!$D:$D,0))
        )
      )
    )
  ),
  0
)</f>
        <v>0</v>
      </c>
      <c r="M11" s="9">
        <f>IFERROR(
  IF(
    D11&lt;&gt;"Tiphaine",
    0,
    IF(
      C11="",
      IF(
        COUNTIFS($B$2:B11,B11,$E$2:E11,E11,$D$2:D11,D11)=1,
        INDEX([1]DB!$A:$A,MATCH($E11,[1]DB!$D:$D,0)),
        IF(
          COUNTIFS($B$2:B11,B11,$E$2:E11,E11,$D$2:D11,D11)=2,
          INDEX([1]DB!$B:$B,MATCH($E11,[1]DB!$D:$D,0)),
          INDEX([1]DB!$C:$C,MATCH($E11,[1]DB!$D:$D,0))
        )
      ),
      IF(
        COUNTIFS($C$2:C11,C11,$E$2:E11,E11,$D$2:D11,D11)=1,
        INDEX([1]DB!$A:$A,MATCH($E11,[1]DB!$D:$D,0)),
        IF(
          COUNTIFS($C$2:C11,C11,$E$2:E11,E11,$D$2:D11,D11)=2,
          INDEX([1]DB!$B:$B,MATCH($E11,[1]DB!$D:$D,0)),
          INDEX([1]DB!$C:$C,MATCH($E11,[1]DB!$D:$D,0))
        )
      )
    )
  ),
  0
)</f>
        <v>0</v>
      </c>
      <c r="N11" s="9">
        <f>IFERROR(
  IF(
    D11&lt;&gt;"Catherine",
    0,
    IF(
      C11="",
      IF(
        COUNTIFS($B$2:B11,B11,$E$2:E11,E11,$D$2:D11,D11)=1,
        INDEX([1]DB!$A:$A,MATCH($E11,[1]DB!$D:$D,0)),
        IF(
          COUNTIFS($B$2:B11,B11,$E$2:E11,E11,$D$2:D11,D11)=2,
          INDEX([1]DB!$B:$B,MATCH($E11,[1]DB!$D:$D,0)),
          INDEX([1]DB!$C:$C,MATCH($E11,[1]DB!$D:$D,0))
        )
      ),
      IF(
        COUNTIFS($C$2:C11,C11,$E$2:E11,E11,$D$2:D11,D11)=1,
        INDEX([1]DB!$A:$A,MATCH($E11,[1]DB!$D:$D,0)),
        IF(
          COUNTIFS($C$2:C11,C11,$E$2:E11,E11,$D$2:D11,D11)=2,
          INDEX([1]DB!$B:$B,MATCH($E11,[1]DB!$D:$D,0)),
          INDEX([1]DB!$C:$C,MATCH($E11,[1]DB!$D:$D,0))
        )
      )
    )
  ),
  0
)</f>
        <v>0</v>
      </c>
      <c r="O11" s="5" t="str">
        <f>IF(DAY(A11)&lt;=15,UPPER(LEFT(TEXT(A11,"mmmm"),1))&amp;RIGHT(TEXT(A11,"mmmm"),LEN(TEXT(A11,"mmmm"))-1),UPPER(LEFT(TEXT(DATE(YEAR(A11),MONTH(A11)+1,1),"mmmm"),1))&amp;RIGHT(TEXT(DATE(YEAR(A11),MONTH(A11)+1,1),"mmmm"),LEN(TEXT(DATE(YEAR(A11),MONTH(A11)+1,1),"mmmm"))-1))</f>
        <v>Janvier</v>
      </c>
      <c r="P11" s="6" t="str">
        <f ca="1">IF(AND(A11&lt;=TODAY(),F11&lt;&gt;""),"OK","NON")</f>
        <v>OK</v>
      </c>
    </row>
    <row r="12" spans="1:22">
      <c r="A12" s="4">
        <v>46036</v>
      </c>
      <c r="B12" s="5" t="s">
        <v>33</v>
      </c>
      <c r="C12" s="5" t="s">
        <v>34</v>
      </c>
      <c r="D12" s="6" t="s">
        <v>14</v>
      </c>
      <c r="E12" s="6" t="s">
        <v>21</v>
      </c>
      <c r="F12" s="7">
        <v>6.33</v>
      </c>
      <c r="G12" s="8" cm="1">
        <f t="array" ref="G12">IFERROR(
  IF(D12&lt;&gt;"Cédric",
     0,
     SUMPRODUCT(
       (TRIM(SUBSTITUTE(UPPER($B$2:$B12),CHAR(160),""))=TRIM(SUBSTITUTE(UPPER(B12),CHAR(160),"")))*
       (TRIM(SUBSTITUTE(UPPER($C$2:$C12),CHAR(160),""))=TRIM(SUBSTITUTE(UPPER(C12),CHAR(160),"")))*
       (TRIM(SUBSTITUTE(UPPER($D$2:$D12),CHAR(160),""))=TRIM(SUBSTITUTE(UPPER(D12),CHAR(160),"")))*
       (TRIM(SUBSTITUTE(UPPER($E$2:$E12),CHAR(160),""))=TRIM(SUBSTITUTE(UPPER(E12),CHAR(160),"")))
     )
  ),
  0
)</f>
        <v>1</v>
      </c>
      <c r="H12" s="8" cm="1">
        <f t="array" ref="H12">IFERROR(
  IF(D12&lt;&gt;"Geoffroy",
     0,
     SUMPRODUCT(
       (TRIM(SUBSTITUTE(UPPER($B$2:$B12),CHAR(160),""))=TRIM(SUBSTITUTE(UPPER(B12),CHAR(160),"")))*
       (TRIM(SUBSTITUTE(UPPER($C$2:$C12),CHAR(160),""))=TRIM(SUBSTITUTE(UPPER(C12),CHAR(160),"")))*
       (TRIM(SUBSTITUTE(UPPER($D$2:$D12),CHAR(160),""))=TRIM(SUBSTITUTE(UPPER(D12),CHAR(160),"")))*
       (TRIM(SUBSTITUTE(UPPER($E$2:$E12),CHAR(160),""))=TRIM(SUBSTITUTE(UPPER(E12),CHAR(160),"")))
     )
  ),
  0
)</f>
        <v>0</v>
      </c>
      <c r="I12" s="8" cm="1">
        <f t="array" ref="I12">IFERROR(
  IF(D12&lt;&gt;"Tiphaine",
     0,
     SUMPRODUCT(
       (TRIM(SUBSTITUTE(UPPER($B$2:$B12),CHAR(160),""))=TRIM(SUBSTITUTE(UPPER(B12),CHAR(160),"")))*
       (TRIM(SUBSTITUTE(UPPER($C$2:$C12),CHAR(160),""))=TRIM(SUBSTITUTE(UPPER(C12),CHAR(160),"")))*
       (TRIM(SUBSTITUTE(UPPER($D$2:$D12),CHAR(160),""))=TRIM(SUBSTITUTE(UPPER(D12),CHAR(160),"")))*
       (TRIM(SUBSTITUTE(UPPER($E$2:$E12),CHAR(160),""))=TRIM(SUBSTITUTE(UPPER(E12),CHAR(160),"")))
     )
  ),
  0
)</f>
        <v>0</v>
      </c>
      <c r="J12" s="8" cm="1">
        <f t="array" ref="J12">IFERROR(
  IF(D12&lt;&gt;"Catherine",
     0,
     SUMPRODUCT(
       (TRIM(SUBSTITUTE(UPPER($B$2:$B12),CHAR(160),""))=TRIM(SUBSTITUTE(UPPER(B12),CHAR(160),"")))*
       (TRIM(SUBSTITUTE(UPPER($C$2:$C12),CHAR(160),""))=TRIM(SUBSTITUTE(UPPER(C12),CHAR(160),"")))*
       (TRIM(SUBSTITUTE(UPPER($D$2:$D12),CHAR(160),""))=TRIM(SUBSTITUTE(UPPER(D12),CHAR(160),"")))*
       (TRIM(SUBSTITUTE(UPPER($E$2:$E12),CHAR(160),""))=TRIM(SUBSTITUTE(UPPER(E12),CHAR(160),"")))
     )
  ),
  0
)</f>
        <v>0</v>
      </c>
      <c r="K12" s="9">
        <f>IFERROR(
  IF(
    D12&lt;&gt;"Cédric",
    0,
    IF(
      C12="",
      IF(
        COUNTIFS($B$2:B12,B12,$E$2:E12,E12,$D$2:D12,D12)=1,
        INDEX([1]DB!$A:$A,MATCH($E12,[1]DB!$D:$D,0)),
        IF(
          COUNTIFS($B$2:B12,B12,$E$2:E12,E12,$D$2:D12,D12)=2,
          INDEX([1]DB!$B:$B,MATCH($E12,[1]DB!$D:$D,0)),
          INDEX([1]DB!$C:$C,MATCH($E12,[1]DB!$D:$D,0))
        )
      ),
      IF(
        COUNTIFS($C$2:C12,C12,$E$2:E12,E12,$D$2:D12,D12)=1,
        INDEX([1]DB!$A:$A,MATCH($E12,[1]DB!$D:$D,0)),
        IF(
          COUNTIFS($C$2:C12,C12,$E$2:E12,E12,$D$2:D12,D12)=2,
          INDEX([1]DB!$B:$B,MATCH($E12,[1]DB!$D:$D,0)),
          INDEX([1]DB!$C:$C,MATCH($E12,[1]DB!$D:$D,0))
        )
      )
    )
  ),
  0
)</f>
        <v>75</v>
      </c>
      <c r="L12" s="9">
        <f>IFERROR(
  IF(
    D12&lt;&gt;"Geoffroy",
    0,
    IF(
      C12="",
      IF(
        COUNTIFS($B$2:B12,B12,$E$2:E12,E12,$D$2:D12,D12)=1,
        INDEX([1]DB!$A:$A,MATCH($E12,[1]DB!$D:$D,0)),
        IF(
          COUNTIFS($B$2:B12,B12,$E$2:E12,E12,$D$2:D12,D12)=2,
          INDEX([1]DB!$B:$B,MATCH($E12,[1]DB!$D:$D,0)),
          INDEX([1]DB!$C:$C,MATCH($E12,[1]DB!$D:$D,0))
        )
      ),
      IF(
        COUNTIFS($C$2:C12,C12,$E$2:E12,E12,$D$2:D12,D12)=1,
        INDEX([1]DB!$A:$A,MATCH($E12,[1]DB!$D:$D,0)),
        IF(
          COUNTIFS($C$2:C12,C12,$E$2:E12,E12,$D$2:D12,D12)=2,
          INDEX([1]DB!$B:$B,MATCH($E12,[1]DB!$D:$D,0)),
          INDEX([1]DB!$C:$C,MATCH($E12,[1]DB!$D:$D,0))
        )
      )
    )
  ),
  0
)</f>
        <v>0</v>
      </c>
      <c r="M12" s="9">
        <f>IFERROR(
  IF(
    D12&lt;&gt;"Tiphaine",
    0,
    IF(
      C12="",
      IF(
        COUNTIFS($B$2:B12,B12,$E$2:E12,E12,$D$2:D12,D12)=1,
        INDEX([1]DB!$A:$A,MATCH($E12,[1]DB!$D:$D,0)),
        IF(
          COUNTIFS($B$2:B12,B12,$E$2:E12,E12,$D$2:D12,D12)=2,
          INDEX([1]DB!$B:$B,MATCH($E12,[1]DB!$D:$D,0)),
          INDEX([1]DB!$C:$C,MATCH($E12,[1]DB!$D:$D,0))
        )
      ),
      IF(
        COUNTIFS($C$2:C12,C12,$E$2:E12,E12,$D$2:D12,D12)=1,
        INDEX([1]DB!$A:$A,MATCH($E12,[1]DB!$D:$D,0)),
        IF(
          COUNTIFS($C$2:C12,C12,$E$2:E12,E12,$D$2:D12,D12)=2,
          INDEX([1]DB!$B:$B,MATCH($E12,[1]DB!$D:$D,0)),
          INDEX([1]DB!$C:$C,MATCH($E12,[1]DB!$D:$D,0))
        )
      )
    )
  ),
  0
)</f>
        <v>0</v>
      </c>
      <c r="N12" s="9">
        <f>IFERROR(
  IF(
    D12&lt;&gt;"Catherine",
    0,
    IF(
      C12="",
      IF(
        COUNTIFS($B$2:B12,B12,$E$2:E12,E12,$D$2:D12,D12)=1,
        INDEX([1]DB!$A:$A,MATCH($E12,[1]DB!$D:$D,0)),
        IF(
          COUNTIFS($B$2:B12,B12,$E$2:E12,E12,$D$2:D12,D12)=2,
          INDEX([1]DB!$B:$B,MATCH($E12,[1]DB!$D:$D,0)),
          INDEX([1]DB!$C:$C,MATCH($E12,[1]DB!$D:$D,0))
        )
      ),
      IF(
        COUNTIFS($C$2:C12,C12,$E$2:E12,E12,$D$2:D12,D12)=1,
        INDEX([1]DB!$A:$A,MATCH($E12,[1]DB!$D:$D,0)),
        IF(
          COUNTIFS($C$2:C12,C12,$E$2:E12,E12,$D$2:D12,D12)=2,
          INDEX([1]DB!$B:$B,MATCH($E12,[1]DB!$D:$D,0)),
          INDEX([1]DB!$C:$C,MATCH($E12,[1]DB!$D:$D,0))
        )
      )
    )
  ),
  0
)</f>
        <v>0</v>
      </c>
      <c r="O12" s="5" t="str">
        <f>IF(DAY(A12)&lt;=15,UPPER(LEFT(TEXT(A12,"mmmm"),1))&amp;RIGHT(TEXT(A12,"mmmm"),LEN(TEXT(A12,"mmmm"))-1),UPPER(LEFT(TEXT(DATE(YEAR(A12),MONTH(A12)+1,1),"mmmm"),1))&amp;RIGHT(TEXT(DATE(YEAR(A12),MONTH(A12)+1,1),"mmmm"),LEN(TEXT(DATE(YEAR(A12),MONTH(A12)+1,1),"mmmm"))-1))</f>
        <v>Janvier</v>
      </c>
      <c r="P12" s="6" t="str">
        <f ca="1">IF(AND(A12&lt;=TODAY(),F12&lt;&gt;""),"OK","NON")</f>
        <v>OK</v>
      </c>
    </row>
    <row r="13" spans="1:22">
      <c r="A13" s="4">
        <v>46038</v>
      </c>
      <c r="B13" s="5" t="s">
        <v>35</v>
      </c>
      <c r="C13" s="5" t="s">
        <v>36</v>
      </c>
      <c r="D13" s="6" t="s">
        <v>14</v>
      </c>
      <c r="E13" s="6" t="s">
        <v>15</v>
      </c>
      <c r="F13" s="7">
        <v>4.5199999999999996</v>
      </c>
      <c r="G13" s="8" cm="1">
        <f t="array" ref="G13">IFERROR(
  IF(D13&lt;&gt;"Cédric",
     0,
     SUMPRODUCT(
       (TRIM(SUBSTITUTE(UPPER($B$2:$B13),CHAR(160),""))=TRIM(SUBSTITUTE(UPPER(B13),CHAR(160),"")))*
       (TRIM(SUBSTITUTE(UPPER($C$2:$C13),CHAR(160),""))=TRIM(SUBSTITUTE(UPPER(C13),CHAR(160),"")))*
       (TRIM(SUBSTITUTE(UPPER($D$2:$D13),CHAR(160),""))=TRIM(SUBSTITUTE(UPPER(D13),CHAR(160),"")))*
       (TRIM(SUBSTITUTE(UPPER($E$2:$E13),CHAR(160),""))=TRIM(SUBSTITUTE(UPPER(E13),CHAR(160),"")))
     )
  ),
  0
)</f>
        <v>1</v>
      </c>
      <c r="H13" s="8" cm="1">
        <f t="array" ref="H13">IFERROR(
  IF(D13&lt;&gt;"Geoffroy",
     0,
     SUMPRODUCT(
       (TRIM(SUBSTITUTE(UPPER($B$2:$B13),CHAR(160),""))=TRIM(SUBSTITUTE(UPPER(B13),CHAR(160),"")))*
       (TRIM(SUBSTITUTE(UPPER($C$2:$C13),CHAR(160),""))=TRIM(SUBSTITUTE(UPPER(C13),CHAR(160),"")))*
       (TRIM(SUBSTITUTE(UPPER($D$2:$D13),CHAR(160),""))=TRIM(SUBSTITUTE(UPPER(D13),CHAR(160),"")))*
       (TRIM(SUBSTITUTE(UPPER($E$2:$E13),CHAR(160),""))=TRIM(SUBSTITUTE(UPPER(E13),CHAR(160),"")))
     )
  ),
  0
)</f>
        <v>0</v>
      </c>
      <c r="I13" s="8" cm="1">
        <f t="array" ref="I13">IFERROR(
  IF(D13&lt;&gt;"Tiphaine",
     0,
     SUMPRODUCT(
       (TRIM(SUBSTITUTE(UPPER($B$2:$B13),CHAR(160),""))=TRIM(SUBSTITUTE(UPPER(B13),CHAR(160),"")))*
       (TRIM(SUBSTITUTE(UPPER($C$2:$C13),CHAR(160),""))=TRIM(SUBSTITUTE(UPPER(C13),CHAR(160),"")))*
       (TRIM(SUBSTITUTE(UPPER($D$2:$D13),CHAR(160),""))=TRIM(SUBSTITUTE(UPPER(D13),CHAR(160),"")))*
       (TRIM(SUBSTITUTE(UPPER($E$2:$E13),CHAR(160),""))=TRIM(SUBSTITUTE(UPPER(E13),CHAR(160),"")))
     )
  ),
  0
)</f>
        <v>0</v>
      </c>
      <c r="J13" s="8" cm="1">
        <f t="array" ref="J13">IFERROR(
  IF(D13&lt;&gt;"Catherine",
     0,
     SUMPRODUCT(
       (TRIM(SUBSTITUTE(UPPER($B$2:$B13),CHAR(160),""))=TRIM(SUBSTITUTE(UPPER(B13),CHAR(160),"")))*
       (TRIM(SUBSTITUTE(UPPER($C$2:$C13),CHAR(160),""))=TRIM(SUBSTITUTE(UPPER(C13),CHAR(160),"")))*
       (TRIM(SUBSTITUTE(UPPER($D$2:$D13),CHAR(160),""))=TRIM(SUBSTITUTE(UPPER(D13),CHAR(160),"")))*
       (TRIM(SUBSTITUTE(UPPER($E$2:$E13),CHAR(160),""))=TRIM(SUBSTITUTE(UPPER(E13),CHAR(160),"")))
     )
  ),
  0
)</f>
        <v>0</v>
      </c>
      <c r="K13" s="9">
        <f>IFERROR(
  IF(
    D13&lt;&gt;"Cédric",
    0,
    IF(
      C13="",
      IF(
        COUNTIFS($B$2:B13,B13,$E$2:E13,E13,$D$2:D13,D13)=1,
        INDEX([1]DB!$A:$A,MATCH($E13,[1]DB!$D:$D,0)),
        IF(
          COUNTIFS($B$2:B13,B13,$E$2:E13,E13,$D$2:D13,D13)=2,
          INDEX([1]DB!$B:$B,MATCH($E13,[1]DB!$D:$D,0)),
          INDEX([1]DB!$C:$C,MATCH($E13,[1]DB!$D:$D,0))
        )
      ),
      IF(
        COUNTIFS($C$2:C13,C13,$E$2:E13,E13,$D$2:D13,D13)=1,
        INDEX([1]DB!$A:$A,MATCH($E13,[1]DB!$D:$D,0)),
        IF(
          COUNTIFS($C$2:C13,C13,$E$2:E13,E13,$D$2:D13,D13)=2,
          INDEX([1]DB!$B:$B,MATCH($E13,[1]DB!$D:$D,0)),
          INDEX([1]DB!$C:$C,MATCH($E13,[1]DB!$D:$D,0))
        )
      )
    )
  ),
  0
)</f>
        <v>75</v>
      </c>
      <c r="L13" s="9">
        <f>IFERROR(
  IF(
    D13&lt;&gt;"Geoffroy",
    0,
    IF(
      C13="",
      IF(
        COUNTIFS($B$2:B13,B13,$E$2:E13,E13,$D$2:D13,D13)=1,
        INDEX([1]DB!$A:$A,MATCH($E13,[1]DB!$D:$D,0)),
        IF(
          COUNTIFS($B$2:B13,B13,$E$2:E13,E13,$D$2:D13,D13)=2,
          INDEX([1]DB!$B:$B,MATCH($E13,[1]DB!$D:$D,0)),
          INDEX([1]DB!$C:$C,MATCH($E13,[1]DB!$D:$D,0))
        )
      ),
      IF(
        COUNTIFS($C$2:C13,C13,$E$2:E13,E13,$D$2:D13,D13)=1,
        INDEX([1]DB!$A:$A,MATCH($E13,[1]DB!$D:$D,0)),
        IF(
          COUNTIFS($C$2:C13,C13,$E$2:E13,E13,$D$2:D13,D13)=2,
          INDEX([1]DB!$B:$B,MATCH($E13,[1]DB!$D:$D,0)),
          INDEX([1]DB!$C:$C,MATCH($E13,[1]DB!$D:$D,0))
        )
      )
    )
  ),
  0
)</f>
        <v>0</v>
      </c>
      <c r="M13" s="9">
        <f>IFERROR(
  IF(
    D13&lt;&gt;"Tiphaine",
    0,
    IF(
      C13="",
      IF(
        COUNTIFS($B$2:B13,B13,$E$2:E13,E13,$D$2:D13,D13)=1,
        INDEX([1]DB!$A:$A,MATCH($E13,[1]DB!$D:$D,0)),
        IF(
          COUNTIFS($B$2:B13,B13,$E$2:E13,E13,$D$2:D13,D13)=2,
          INDEX([1]DB!$B:$B,MATCH($E13,[1]DB!$D:$D,0)),
          INDEX([1]DB!$C:$C,MATCH($E13,[1]DB!$D:$D,0))
        )
      ),
      IF(
        COUNTIFS($C$2:C13,C13,$E$2:E13,E13,$D$2:D13,D13)=1,
        INDEX([1]DB!$A:$A,MATCH($E13,[1]DB!$D:$D,0)),
        IF(
          COUNTIFS($C$2:C13,C13,$E$2:E13,E13,$D$2:D13,D13)=2,
          INDEX([1]DB!$B:$B,MATCH($E13,[1]DB!$D:$D,0)),
          INDEX([1]DB!$C:$C,MATCH($E13,[1]DB!$D:$D,0))
        )
      )
    )
  ),
  0
)</f>
        <v>0</v>
      </c>
      <c r="N13" s="9">
        <f>IFERROR(
  IF(
    D13&lt;&gt;"Catherine",
    0,
    IF(
      C13="",
      IF(
        COUNTIFS($B$2:B13,B13,$E$2:E13,E13,$D$2:D13,D13)=1,
        INDEX([1]DB!$A:$A,MATCH($E13,[1]DB!$D:$D,0)),
        IF(
          COUNTIFS($B$2:B13,B13,$E$2:E13,E13,$D$2:D13,D13)=2,
          INDEX([1]DB!$B:$B,MATCH($E13,[1]DB!$D:$D,0)),
          INDEX([1]DB!$C:$C,MATCH($E13,[1]DB!$D:$D,0))
        )
      ),
      IF(
        COUNTIFS($C$2:C13,C13,$E$2:E13,E13,$D$2:D13,D13)=1,
        INDEX([1]DB!$A:$A,MATCH($E13,[1]DB!$D:$D,0)),
        IF(
          COUNTIFS($C$2:C13,C13,$E$2:E13,E13,$D$2:D13,D13)=2,
          INDEX([1]DB!$B:$B,MATCH($E13,[1]DB!$D:$D,0)),
          INDEX([1]DB!$C:$C,MATCH($E13,[1]DB!$D:$D,0))
        )
      )
    )
  ),
  0
)</f>
        <v>0</v>
      </c>
      <c r="O13" s="5" t="str">
        <f>IF(DAY(A13)&lt;=15,UPPER(LEFT(TEXT(A13,"mmmm"),1))&amp;RIGHT(TEXT(A13,"mmmm"),LEN(TEXT(A13,"mmmm"))-1),UPPER(LEFT(TEXT(DATE(YEAR(A13),MONTH(A13)+1,1),"mmmm"),1))&amp;RIGHT(TEXT(DATE(YEAR(A13),MONTH(A13)+1,1),"mmmm"),LEN(TEXT(DATE(YEAR(A13),MONTH(A13)+1,1),"mmmm"))-1))</f>
        <v>Février</v>
      </c>
      <c r="P13" s="6" t="str">
        <f ca="1">IF(AND(A13&lt;=TODAY(),F13&lt;&gt;""),"OK","NON")</f>
        <v>OK</v>
      </c>
    </row>
    <row r="14" spans="1:22">
      <c r="A14" s="4">
        <v>46042</v>
      </c>
      <c r="B14" s="5" t="s">
        <v>37</v>
      </c>
      <c r="C14" s="5" t="s">
        <v>38</v>
      </c>
      <c r="D14" s="6" t="s">
        <v>14</v>
      </c>
      <c r="E14" s="6" t="s">
        <v>27</v>
      </c>
      <c r="F14" s="7">
        <v>7.65</v>
      </c>
      <c r="G14" s="8" cm="1">
        <f t="array" ref="G14">IFERROR(
  IF(D14&lt;&gt;"Cédric",
     0,
     SUMPRODUCT(
       (TRIM(SUBSTITUTE(UPPER($B$2:$B14),CHAR(160),""))=TRIM(SUBSTITUTE(UPPER(B14),CHAR(160),"")))*
       (TRIM(SUBSTITUTE(UPPER($C$2:$C14),CHAR(160),""))=TRIM(SUBSTITUTE(UPPER(C14),CHAR(160),"")))*
       (TRIM(SUBSTITUTE(UPPER($D$2:$D14),CHAR(160),""))=TRIM(SUBSTITUTE(UPPER(D14),CHAR(160),"")))*
       (TRIM(SUBSTITUTE(UPPER($E$2:$E14),CHAR(160),""))=TRIM(SUBSTITUTE(UPPER(E14),CHAR(160),"")))
     )
  ),
  0
)</f>
        <v>1</v>
      </c>
      <c r="H14" s="8" cm="1">
        <f t="array" ref="H14">IFERROR(
  IF(D14&lt;&gt;"Geoffroy",
     0,
     SUMPRODUCT(
       (TRIM(SUBSTITUTE(UPPER($B$2:$B14),CHAR(160),""))=TRIM(SUBSTITUTE(UPPER(B14),CHAR(160),"")))*
       (TRIM(SUBSTITUTE(UPPER($C$2:$C14),CHAR(160),""))=TRIM(SUBSTITUTE(UPPER(C14),CHAR(160),"")))*
       (TRIM(SUBSTITUTE(UPPER($D$2:$D14),CHAR(160),""))=TRIM(SUBSTITUTE(UPPER(D14),CHAR(160),"")))*
       (TRIM(SUBSTITUTE(UPPER($E$2:$E14),CHAR(160),""))=TRIM(SUBSTITUTE(UPPER(E14),CHAR(160),"")))
     )
  ),
  0
)</f>
        <v>0</v>
      </c>
      <c r="I14" s="8" cm="1">
        <f t="array" ref="I14">IFERROR(
  IF(D14&lt;&gt;"Tiphaine",
     0,
     SUMPRODUCT(
       (TRIM(SUBSTITUTE(UPPER($B$2:$B14),CHAR(160),""))=TRIM(SUBSTITUTE(UPPER(B14),CHAR(160),"")))*
       (TRIM(SUBSTITUTE(UPPER($C$2:$C14),CHAR(160),""))=TRIM(SUBSTITUTE(UPPER(C14),CHAR(160),"")))*
       (TRIM(SUBSTITUTE(UPPER($D$2:$D14),CHAR(160),""))=TRIM(SUBSTITUTE(UPPER(D14),CHAR(160),"")))*
       (TRIM(SUBSTITUTE(UPPER($E$2:$E14),CHAR(160),""))=TRIM(SUBSTITUTE(UPPER(E14),CHAR(160),"")))
     )
  ),
  0
)</f>
        <v>0</v>
      </c>
      <c r="J14" s="8" cm="1">
        <f t="array" ref="J14">IFERROR(
  IF(D14&lt;&gt;"Catherine",
     0,
     SUMPRODUCT(
       (TRIM(SUBSTITUTE(UPPER($B$2:$B14),CHAR(160),""))=TRIM(SUBSTITUTE(UPPER(B14),CHAR(160),"")))*
       (TRIM(SUBSTITUTE(UPPER($C$2:$C14),CHAR(160),""))=TRIM(SUBSTITUTE(UPPER(C14),CHAR(160),"")))*
       (TRIM(SUBSTITUTE(UPPER($D$2:$D14),CHAR(160),""))=TRIM(SUBSTITUTE(UPPER(D14),CHAR(160),"")))*
       (TRIM(SUBSTITUTE(UPPER($E$2:$E14),CHAR(160),""))=TRIM(SUBSTITUTE(UPPER(E14),CHAR(160),"")))
     )
  ),
  0
)</f>
        <v>0</v>
      </c>
      <c r="K14" s="9">
        <f>IFERROR(
  IF(
    D14&lt;&gt;"Cédric",
    0,
    IF(
      C14="",
      IF(
        COUNTIFS($B$2:B14,B14,$E$2:E14,E14,$D$2:D14,D14)=1,
        INDEX([1]DB!$A:$A,MATCH($E14,[1]DB!$D:$D,0)),
        IF(
          COUNTIFS($B$2:B14,B14,$E$2:E14,E14,$D$2:D14,D14)=2,
          INDEX([1]DB!$B:$B,MATCH($E14,[1]DB!$D:$D,0)),
          INDEX([1]DB!$C:$C,MATCH($E14,[1]DB!$D:$D,0))
        )
      ),
      IF(
        COUNTIFS($C$2:C14,C14,$E$2:E14,E14,$D$2:D14,D14)=1,
        INDEX([1]DB!$A:$A,MATCH($E14,[1]DB!$D:$D,0)),
        IF(
          COUNTIFS($C$2:C14,C14,$E$2:E14,E14,$D$2:D14,D14)=2,
          INDEX([1]DB!$B:$B,MATCH($E14,[1]DB!$D:$D,0)),
          INDEX([1]DB!$C:$C,MATCH($E14,[1]DB!$D:$D,0))
        )
      )
    )
  ),
  0
)</f>
        <v>75</v>
      </c>
      <c r="L14" s="9">
        <f>IFERROR(
  IF(
    D14&lt;&gt;"Geoffroy",
    0,
    IF(
      C14="",
      IF(
        COUNTIFS($B$2:B14,B14,$E$2:E14,E14,$D$2:D14,D14)=1,
        INDEX([1]DB!$A:$A,MATCH($E14,[1]DB!$D:$D,0)),
        IF(
          COUNTIFS($B$2:B14,B14,$E$2:E14,E14,$D$2:D14,D14)=2,
          INDEX([1]DB!$B:$B,MATCH($E14,[1]DB!$D:$D,0)),
          INDEX([1]DB!$C:$C,MATCH($E14,[1]DB!$D:$D,0))
        )
      ),
      IF(
        COUNTIFS($C$2:C14,C14,$E$2:E14,E14,$D$2:D14,D14)=1,
        INDEX([1]DB!$A:$A,MATCH($E14,[1]DB!$D:$D,0)),
        IF(
          COUNTIFS($C$2:C14,C14,$E$2:E14,E14,$D$2:D14,D14)=2,
          INDEX([1]DB!$B:$B,MATCH($E14,[1]DB!$D:$D,0)),
          INDEX([1]DB!$C:$C,MATCH($E14,[1]DB!$D:$D,0))
        )
      )
    )
  ),
  0
)</f>
        <v>0</v>
      </c>
      <c r="M14" s="9">
        <f>IFERROR(
  IF(
    D14&lt;&gt;"Tiphaine",
    0,
    IF(
      C14="",
      IF(
        COUNTIFS($B$2:B14,B14,$E$2:E14,E14,$D$2:D14,D14)=1,
        INDEX([1]DB!$A:$A,MATCH($E14,[1]DB!$D:$D,0)),
        IF(
          COUNTIFS($B$2:B14,B14,$E$2:E14,E14,$D$2:D14,D14)=2,
          INDEX([1]DB!$B:$B,MATCH($E14,[1]DB!$D:$D,0)),
          INDEX([1]DB!$C:$C,MATCH($E14,[1]DB!$D:$D,0))
        )
      ),
      IF(
        COUNTIFS($C$2:C14,C14,$E$2:E14,E14,$D$2:D14,D14)=1,
        INDEX([1]DB!$A:$A,MATCH($E14,[1]DB!$D:$D,0)),
        IF(
          COUNTIFS($C$2:C14,C14,$E$2:E14,E14,$D$2:D14,D14)=2,
          INDEX([1]DB!$B:$B,MATCH($E14,[1]DB!$D:$D,0)),
          INDEX([1]DB!$C:$C,MATCH($E14,[1]DB!$D:$D,0))
        )
      )
    )
  ),
  0
)</f>
        <v>0</v>
      </c>
      <c r="N14" s="9">
        <f>IFERROR(
  IF(
    D14&lt;&gt;"Catherine",
    0,
    IF(
      C14="",
      IF(
        COUNTIFS($B$2:B14,B14,$E$2:E14,E14,$D$2:D14,D14)=1,
        INDEX([1]DB!$A:$A,MATCH($E14,[1]DB!$D:$D,0)),
        IF(
          COUNTIFS($B$2:B14,B14,$E$2:E14,E14,$D$2:D14,D14)=2,
          INDEX([1]DB!$B:$B,MATCH($E14,[1]DB!$D:$D,0)),
          INDEX([1]DB!$C:$C,MATCH($E14,[1]DB!$D:$D,0))
        )
      ),
      IF(
        COUNTIFS($C$2:C14,C14,$E$2:E14,E14,$D$2:D14,D14)=1,
        INDEX([1]DB!$A:$A,MATCH($E14,[1]DB!$D:$D,0)),
        IF(
          COUNTIFS($C$2:C14,C14,$E$2:E14,E14,$D$2:D14,D14)=2,
          INDEX([1]DB!$B:$B,MATCH($E14,[1]DB!$D:$D,0)),
          INDEX([1]DB!$C:$C,MATCH($E14,[1]DB!$D:$D,0))
        )
      )
    )
  ),
  0
)</f>
        <v>0</v>
      </c>
      <c r="O14" s="5" t="str">
        <f>IF(DAY(A14)&lt;=15,UPPER(LEFT(TEXT(A14,"mmmm"),1))&amp;RIGHT(TEXT(A14,"mmmm"),LEN(TEXT(A14,"mmmm"))-1),UPPER(LEFT(TEXT(DATE(YEAR(A14),MONTH(A14)+1,1),"mmmm"),1))&amp;RIGHT(TEXT(DATE(YEAR(A14),MONTH(A14)+1,1),"mmmm"),LEN(TEXT(DATE(YEAR(A14),MONTH(A14)+1,1),"mmmm"))-1))</f>
        <v>Février</v>
      </c>
      <c r="P14" s="6" t="str">
        <f ca="1">IF(AND(A14&lt;=TODAY(),F14&lt;&gt;""),"OK","NON")</f>
        <v>OK</v>
      </c>
    </row>
    <row r="15" spans="1:22">
      <c r="A15" s="4">
        <v>46043</v>
      </c>
      <c r="B15" s="5" t="s">
        <v>39</v>
      </c>
      <c r="C15" s="5" t="s">
        <v>40</v>
      </c>
      <c r="D15" s="6" t="s">
        <v>14</v>
      </c>
      <c r="E15" s="6" t="s">
        <v>27</v>
      </c>
      <c r="F15" s="7">
        <v>7.16</v>
      </c>
      <c r="G15" s="8" cm="1">
        <f t="array" ref="G15">IFERROR(
  IF(D15&lt;&gt;"Cédric",
     0,
     SUMPRODUCT(
       (TRIM(SUBSTITUTE(UPPER($B$2:$B15),CHAR(160),""))=TRIM(SUBSTITUTE(UPPER(B15),CHAR(160),"")))*
       (TRIM(SUBSTITUTE(UPPER($C$2:$C15),CHAR(160),""))=TRIM(SUBSTITUTE(UPPER(C15),CHAR(160),"")))*
       (TRIM(SUBSTITUTE(UPPER($D$2:$D15),CHAR(160),""))=TRIM(SUBSTITUTE(UPPER(D15),CHAR(160),"")))*
       (TRIM(SUBSTITUTE(UPPER($E$2:$E15),CHAR(160),""))=TRIM(SUBSTITUTE(UPPER(E15),CHAR(160),"")))
     )
  ),
  0
)</f>
        <v>1</v>
      </c>
      <c r="H15" s="8" cm="1">
        <f t="array" ref="H15">IFERROR(
  IF(D15&lt;&gt;"Geoffroy",
     0,
     SUMPRODUCT(
       (TRIM(SUBSTITUTE(UPPER($B$2:$B15),CHAR(160),""))=TRIM(SUBSTITUTE(UPPER(B15),CHAR(160),"")))*
       (TRIM(SUBSTITUTE(UPPER($C$2:$C15),CHAR(160),""))=TRIM(SUBSTITUTE(UPPER(C15),CHAR(160),"")))*
       (TRIM(SUBSTITUTE(UPPER($D$2:$D15),CHAR(160),""))=TRIM(SUBSTITUTE(UPPER(D15),CHAR(160),"")))*
       (TRIM(SUBSTITUTE(UPPER($E$2:$E15),CHAR(160),""))=TRIM(SUBSTITUTE(UPPER(E15),CHAR(160),"")))
     )
  ),
  0
)</f>
        <v>0</v>
      </c>
      <c r="I15" s="8" cm="1">
        <f t="array" ref="I15">IFERROR(
  IF(D15&lt;&gt;"Tiphaine",
     0,
     SUMPRODUCT(
       (TRIM(SUBSTITUTE(UPPER($B$2:$B15),CHAR(160),""))=TRIM(SUBSTITUTE(UPPER(B15),CHAR(160),"")))*
       (TRIM(SUBSTITUTE(UPPER($C$2:$C15),CHAR(160),""))=TRIM(SUBSTITUTE(UPPER(C15),CHAR(160),"")))*
       (TRIM(SUBSTITUTE(UPPER($D$2:$D15),CHAR(160),""))=TRIM(SUBSTITUTE(UPPER(D15),CHAR(160),"")))*
       (TRIM(SUBSTITUTE(UPPER($E$2:$E15),CHAR(160),""))=TRIM(SUBSTITUTE(UPPER(E15),CHAR(160),"")))
     )
  ),
  0
)</f>
        <v>0</v>
      </c>
      <c r="J15" s="8" cm="1">
        <f t="array" ref="J15">IFERROR(
  IF(D15&lt;&gt;"Catherine",
     0,
     SUMPRODUCT(
       (TRIM(SUBSTITUTE(UPPER($B$2:$B15),CHAR(160),""))=TRIM(SUBSTITUTE(UPPER(B15),CHAR(160),"")))*
       (TRIM(SUBSTITUTE(UPPER($C$2:$C15),CHAR(160),""))=TRIM(SUBSTITUTE(UPPER(C15),CHAR(160),"")))*
       (TRIM(SUBSTITUTE(UPPER($D$2:$D15),CHAR(160),""))=TRIM(SUBSTITUTE(UPPER(D15),CHAR(160),"")))*
       (TRIM(SUBSTITUTE(UPPER($E$2:$E15),CHAR(160),""))=TRIM(SUBSTITUTE(UPPER(E15),CHAR(160),"")))
     )
  ),
  0
)</f>
        <v>0</v>
      </c>
      <c r="K15" s="9">
        <f>IFERROR(
  IF(
    D15&lt;&gt;"Cédric",
    0,
    IF(
      C15="",
      IF(
        COUNTIFS($B$2:B15,B15,$E$2:E15,E15,$D$2:D15,D15)=1,
        INDEX([1]DB!$A:$A,MATCH($E15,[1]DB!$D:$D,0)),
        IF(
          COUNTIFS($B$2:B15,B15,$E$2:E15,E15,$D$2:D15,D15)=2,
          INDEX([1]DB!$B:$B,MATCH($E15,[1]DB!$D:$D,0)),
          INDEX([1]DB!$C:$C,MATCH($E15,[1]DB!$D:$D,0))
        )
      ),
      IF(
        COUNTIFS($C$2:C15,C15,$E$2:E15,E15,$D$2:D15,D15)=1,
        INDEX([1]DB!$A:$A,MATCH($E15,[1]DB!$D:$D,0)),
        IF(
          COUNTIFS($C$2:C15,C15,$E$2:E15,E15,$D$2:D15,D15)=2,
          INDEX([1]DB!$B:$B,MATCH($E15,[1]DB!$D:$D,0)),
          INDEX([1]DB!$C:$C,MATCH($E15,[1]DB!$D:$D,0))
        )
      )
    )
  ),
  0
)</f>
        <v>75</v>
      </c>
      <c r="L15" s="9">
        <f>IFERROR(
  IF(
    D15&lt;&gt;"Geoffroy",
    0,
    IF(
      C15="",
      IF(
        COUNTIFS($B$2:B15,B15,$E$2:E15,E15,$D$2:D15,D15)=1,
        INDEX([1]DB!$A:$A,MATCH($E15,[1]DB!$D:$D,0)),
        IF(
          COUNTIFS($B$2:B15,B15,$E$2:E15,E15,$D$2:D15,D15)=2,
          INDEX([1]DB!$B:$B,MATCH($E15,[1]DB!$D:$D,0)),
          INDEX([1]DB!$C:$C,MATCH($E15,[1]DB!$D:$D,0))
        )
      ),
      IF(
        COUNTIFS($C$2:C15,C15,$E$2:E15,E15,$D$2:D15,D15)=1,
        INDEX([1]DB!$A:$A,MATCH($E15,[1]DB!$D:$D,0)),
        IF(
          COUNTIFS($C$2:C15,C15,$E$2:E15,E15,$D$2:D15,D15)=2,
          INDEX([1]DB!$B:$B,MATCH($E15,[1]DB!$D:$D,0)),
          INDEX([1]DB!$C:$C,MATCH($E15,[1]DB!$D:$D,0))
        )
      )
    )
  ),
  0
)</f>
        <v>0</v>
      </c>
      <c r="M15" s="9">
        <f>IFERROR(
  IF(
    D15&lt;&gt;"Tiphaine",
    0,
    IF(
      C15="",
      IF(
        COUNTIFS($B$2:B15,B15,$E$2:E15,E15,$D$2:D15,D15)=1,
        INDEX([1]DB!$A:$A,MATCH($E15,[1]DB!$D:$D,0)),
        IF(
          COUNTIFS($B$2:B15,B15,$E$2:E15,E15,$D$2:D15,D15)=2,
          INDEX([1]DB!$B:$B,MATCH($E15,[1]DB!$D:$D,0)),
          INDEX([1]DB!$C:$C,MATCH($E15,[1]DB!$D:$D,0))
        )
      ),
      IF(
        COUNTIFS($C$2:C15,C15,$E$2:E15,E15,$D$2:D15,D15)=1,
        INDEX([1]DB!$A:$A,MATCH($E15,[1]DB!$D:$D,0)),
        IF(
          COUNTIFS($C$2:C15,C15,$E$2:E15,E15,$D$2:D15,D15)=2,
          INDEX([1]DB!$B:$B,MATCH($E15,[1]DB!$D:$D,0)),
          INDEX([1]DB!$C:$C,MATCH($E15,[1]DB!$D:$D,0))
        )
      )
    )
  ),
  0
)</f>
        <v>0</v>
      </c>
      <c r="N15" s="9">
        <f>IFERROR(
  IF(
    D15&lt;&gt;"Catherine",
    0,
    IF(
      C15="",
      IF(
        COUNTIFS($B$2:B15,B15,$E$2:E15,E15,$D$2:D15,D15)=1,
        INDEX([1]DB!$A:$A,MATCH($E15,[1]DB!$D:$D,0)),
        IF(
          COUNTIFS($B$2:B15,B15,$E$2:E15,E15,$D$2:D15,D15)=2,
          INDEX([1]DB!$B:$B,MATCH($E15,[1]DB!$D:$D,0)),
          INDEX([1]DB!$C:$C,MATCH($E15,[1]DB!$D:$D,0))
        )
      ),
      IF(
        COUNTIFS($C$2:C15,C15,$E$2:E15,E15,$D$2:D15,D15)=1,
        INDEX([1]DB!$A:$A,MATCH($E15,[1]DB!$D:$D,0)),
        IF(
          COUNTIFS($C$2:C15,C15,$E$2:E15,E15,$D$2:D15,D15)=2,
          INDEX([1]DB!$B:$B,MATCH($E15,[1]DB!$D:$D,0)),
          INDEX([1]DB!$C:$C,MATCH($E15,[1]DB!$D:$D,0))
        )
      )
    )
  ),
  0
)</f>
        <v>0</v>
      </c>
      <c r="O15" s="5" t="str">
        <f>IF(DAY(A15)&lt;=15,UPPER(LEFT(TEXT(A15,"mmmm"),1))&amp;RIGHT(TEXT(A15,"mmmm"),LEN(TEXT(A15,"mmmm"))-1),UPPER(LEFT(TEXT(DATE(YEAR(A15),MONTH(A15)+1,1),"mmmm"),1))&amp;RIGHT(TEXT(DATE(YEAR(A15),MONTH(A15)+1,1),"mmmm"),LEN(TEXT(DATE(YEAR(A15),MONTH(A15)+1,1),"mmmm"))-1))</f>
        <v>Février</v>
      </c>
      <c r="P15" s="6" t="str">
        <f ca="1">IF(AND(A15&lt;=TODAY(),F15&lt;&gt;""),"OK","NON")</f>
        <v>OK</v>
      </c>
    </row>
    <row r="16" spans="1:22">
      <c r="A16" s="4">
        <v>46044</v>
      </c>
      <c r="B16" s="5" t="s">
        <v>41</v>
      </c>
      <c r="C16" s="5" t="s">
        <v>42</v>
      </c>
      <c r="D16" s="6" t="s">
        <v>14</v>
      </c>
      <c r="E16" s="6" t="s">
        <v>15</v>
      </c>
      <c r="F16" s="7">
        <v>6.61</v>
      </c>
      <c r="G16" s="8" cm="1">
        <f t="array" ref="G16">IFERROR(
  IF(D16&lt;&gt;"Cédric",
     0,
     SUMPRODUCT(
       (TRIM(SUBSTITUTE(UPPER($B$2:$B16),CHAR(160),""))=TRIM(SUBSTITUTE(UPPER(B16),CHAR(160),"")))*
       (TRIM(SUBSTITUTE(UPPER($C$2:$C16),CHAR(160),""))=TRIM(SUBSTITUTE(UPPER(C16),CHAR(160),"")))*
       (TRIM(SUBSTITUTE(UPPER($D$2:$D16),CHAR(160),""))=TRIM(SUBSTITUTE(UPPER(D16),CHAR(160),"")))*
       (TRIM(SUBSTITUTE(UPPER($E$2:$E16),CHAR(160),""))=TRIM(SUBSTITUTE(UPPER(E16),CHAR(160),"")))
     )
  ),
  0
)</f>
        <v>1</v>
      </c>
      <c r="H16" s="8" cm="1">
        <f t="array" ref="H16">IFERROR(
  IF(D16&lt;&gt;"Geoffroy",
     0,
     SUMPRODUCT(
       (TRIM(SUBSTITUTE(UPPER($B$2:$B16),CHAR(160),""))=TRIM(SUBSTITUTE(UPPER(B16),CHAR(160),"")))*
       (TRIM(SUBSTITUTE(UPPER($C$2:$C16),CHAR(160),""))=TRIM(SUBSTITUTE(UPPER(C16),CHAR(160),"")))*
       (TRIM(SUBSTITUTE(UPPER($D$2:$D16),CHAR(160),""))=TRIM(SUBSTITUTE(UPPER(D16),CHAR(160),"")))*
       (TRIM(SUBSTITUTE(UPPER($E$2:$E16),CHAR(160),""))=TRIM(SUBSTITUTE(UPPER(E16),CHAR(160),"")))
     )
  ),
  0
)</f>
        <v>0</v>
      </c>
      <c r="I16" s="8" cm="1">
        <f t="array" ref="I16">IFERROR(
  IF(D16&lt;&gt;"Tiphaine",
     0,
     SUMPRODUCT(
       (TRIM(SUBSTITUTE(UPPER($B$2:$B16),CHAR(160),""))=TRIM(SUBSTITUTE(UPPER(B16),CHAR(160),"")))*
       (TRIM(SUBSTITUTE(UPPER($C$2:$C16),CHAR(160),""))=TRIM(SUBSTITUTE(UPPER(C16),CHAR(160),"")))*
       (TRIM(SUBSTITUTE(UPPER($D$2:$D16),CHAR(160),""))=TRIM(SUBSTITUTE(UPPER(D16),CHAR(160),"")))*
       (TRIM(SUBSTITUTE(UPPER($E$2:$E16),CHAR(160),""))=TRIM(SUBSTITUTE(UPPER(E16),CHAR(160),"")))
     )
  ),
  0
)</f>
        <v>0</v>
      </c>
      <c r="J16" s="8" cm="1">
        <f t="array" ref="J16">IFERROR(
  IF(D16&lt;&gt;"Catherine",
     0,
     SUMPRODUCT(
       (TRIM(SUBSTITUTE(UPPER($B$2:$B16),CHAR(160),""))=TRIM(SUBSTITUTE(UPPER(B16),CHAR(160),"")))*
       (TRIM(SUBSTITUTE(UPPER($C$2:$C16),CHAR(160),""))=TRIM(SUBSTITUTE(UPPER(C16),CHAR(160),"")))*
       (TRIM(SUBSTITUTE(UPPER($D$2:$D16),CHAR(160),""))=TRIM(SUBSTITUTE(UPPER(D16),CHAR(160),"")))*
       (TRIM(SUBSTITUTE(UPPER($E$2:$E16),CHAR(160),""))=TRIM(SUBSTITUTE(UPPER(E16),CHAR(160),"")))
     )
  ),
  0
)</f>
        <v>0</v>
      </c>
      <c r="K16" s="9">
        <f>IFERROR(
  IF(
    D16&lt;&gt;"Cédric",
    0,
    IF(
      C16="",
      IF(
        COUNTIFS($B$2:B16,B16,$E$2:E16,E16,$D$2:D16,D16)=1,
        INDEX([1]DB!$A:$A,MATCH($E16,[1]DB!$D:$D,0)),
        IF(
          COUNTIFS($B$2:B16,B16,$E$2:E16,E16,$D$2:D16,D16)=2,
          INDEX([1]DB!$B:$B,MATCH($E16,[1]DB!$D:$D,0)),
          INDEX([1]DB!$C:$C,MATCH($E16,[1]DB!$D:$D,0))
        )
      ),
      IF(
        COUNTIFS($C$2:C16,C16,$E$2:E16,E16,$D$2:D16,D16)=1,
        INDEX([1]DB!$A:$A,MATCH($E16,[1]DB!$D:$D,0)),
        IF(
          COUNTIFS($C$2:C16,C16,$E$2:E16,E16,$D$2:D16,D16)=2,
          INDEX([1]DB!$B:$B,MATCH($E16,[1]DB!$D:$D,0)),
          INDEX([1]DB!$C:$C,MATCH($E16,[1]DB!$D:$D,0))
        )
      )
    )
  ),
  0
)</f>
        <v>75</v>
      </c>
      <c r="L16" s="9">
        <f>IFERROR(
  IF(
    D16&lt;&gt;"Geoffroy",
    0,
    IF(
      C16="",
      IF(
        COUNTIFS($B$2:B16,B16,$E$2:E16,E16,$D$2:D16,D16)=1,
        INDEX([1]DB!$A:$A,MATCH($E16,[1]DB!$D:$D,0)),
        IF(
          COUNTIFS($B$2:B16,B16,$E$2:E16,E16,$D$2:D16,D16)=2,
          INDEX([1]DB!$B:$B,MATCH($E16,[1]DB!$D:$D,0)),
          INDEX([1]DB!$C:$C,MATCH($E16,[1]DB!$D:$D,0))
        )
      ),
      IF(
        COUNTIFS($C$2:C16,C16,$E$2:E16,E16,$D$2:D16,D16)=1,
        INDEX([1]DB!$A:$A,MATCH($E16,[1]DB!$D:$D,0)),
        IF(
          COUNTIFS($C$2:C16,C16,$E$2:E16,E16,$D$2:D16,D16)=2,
          INDEX([1]DB!$B:$B,MATCH($E16,[1]DB!$D:$D,0)),
          INDEX([1]DB!$C:$C,MATCH($E16,[1]DB!$D:$D,0))
        )
      )
    )
  ),
  0
)</f>
        <v>0</v>
      </c>
      <c r="M16" s="9">
        <f>IFERROR(
  IF(
    D16&lt;&gt;"Tiphaine",
    0,
    IF(
      C16="",
      IF(
        COUNTIFS($B$2:B16,B16,$E$2:E16,E16,$D$2:D16,D16)=1,
        INDEX([1]DB!$A:$A,MATCH($E16,[1]DB!$D:$D,0)),
        IF(
          COUNTIFS($B$2:B16,B16,$E$2:E16,E16,$D$2:D16,D16)=2,
          INDEX([1]DB!$B:$B,MATCH($E16,[1]DB!$D:$D,0)),
          INDEX([1]DB!$C:$C,MATCH($E16,[1]DB!$D:$D,0))
        )
      ),
      IF(
        COUNTIFS($C$2:C16,C16,$E$2:E16,E16,$D$2:D16,D16)=1,
        INDEX([1]DB!$A:$A,MATCH($E16,[1]DB!$D:$D,0)),
        IF(
          COUNTIFS($C$2:C16,C16,$E$2:E16,E16,$D$2:D16,D16)=2,
          INDEX([1]DB!$B:$B,MATCH($E16,[1]DB!$D:$D,0)),
          INDEX([1]DB!$C:$C,MATCH($E16,[1]DB!$D:$D,0))
        )
      )
    )
  ),
  0
)</f>
        <v>0</v>
      </c>
      <c r="N16" s="9">
        <f>IFERROR(
  IF(
    D16&lt;&gt;"Catherine",
    0,
    IF(
      C16="",
      IF(
        COUNTIFS($B$2:B16,B16,$E$2:E16,E16,$D$2:D16,D16)=1,
        INDEX([1]DB!$A:$A,MATCH($E16,[1]DB!$D:$D,0)),
        IF(
          COUNTIFS($B$2:B16,B16,$E$2:E16,E16,$D$2:D16,D16)=2,
          INDEX([1]DB!$B:$B,MATCH($E16,[1]DB!$D:$D,0)),
          INDEX([1]DB!$C:$C,MATCH($E16,[1]DB!$D:$D,0))
        )
      ),
      IF(
        COUNTIFS($C$2:C16,C16,$E$2:E16,E16,$D$2:D16,D16)=1,
        INDEX([1]DB!$A:$A,MATCH($E16,[1]DB!$D:$D,0)),
        IF(
          COUNTIFS($C$2:C16,C16,$E$2:E16,E16,$D$2:D16,D16)=2,
          INDEX([1]DB!$B:$B,MATCH($E16,[1]DB!$D:$D,0)),
          INDEX([1]DB!$C:$C,MATCH($E16,[1]DB!$D:$D,0))
        )
      )
    )
  ),
  0
)</f>
        <v>0</v>
      </c>
      <c r="O16" s="5" t="str">
        <f>IF(DAY(A16)&lt;=15,UPPER(LEFT(TEXT(A16,"mmmm"),1))&amp;RIGHT(TEXT(A16,"mmmm"),LEN(TEXT(A16,"mmmm"))-1),UPPER(LEFT(TEXT(DATE(YEAR(A16),MONTH(A16)+1,1),"mmmm"),1))&amp;RIGHT(TEXT(DATE(YEAR(A16),MONTH(A16)+1,1),"mmmm"),LEN(TEXT(DATE(YEAR(A16),MONTH(A16)+1,1),"mmmm"))-1))</f>
        <v>Février</v>
      </c>
      <c r="P16" s="6" t="str">
        <f ca="1">IF(AND(A16&lt;=TODAY(),F16&lt;&gt;""),"OK","NON")</f>
        <v>OK</v>
      </c>
    </row>
    <row r="17" spans="1:16">
      <c r="A17" s="4">
        <v>46045</v>
      </c>
      <c r="B17" s="5" t="s">
        <v>43</v>
      </c>
      <c r="C17" s="5" t="s">
        <v>44</v>
      </c>
      <c r="D17" s="6" t="s">
        <v>14</v>
      </c>
      <c r="E17" s="6" t="s">
        <v>18</v>
      </c>
      <c r="F17" s="7">
        <v>6.74</v>
      </c>
      <c r="G17" s="8" cm="1">
        <f t="array" ref="G17">IFERROR(
  IF(D17&lt;&gt;"Cédric",
     0,
     SUMPRODUCT(
       (TRIM(SUBSTITUTE(UPPER($B$2:$B17),CHAR(160),""))=TRIM(SUBSTITUTE(UPPER(B17),CHAR(160),"")))*
       (TRIM(SUBSTITUTE(UPPER($C$2:$C17),CHAR(160),""))=TRIM(SUBSTITUTE(UPPER(C17),CHAR(160),"")))*
       (TRIM(SUBSTITUTE(UPPER($D$2:$D17),CHAR(160),""))=TRIM(SUBSTITUTE(UPPER(D17),CHAR(160),"")))*
       (TRIM(SUBSTITUTE(UPPER($E$2:$E17),CHAR(160),""))=TRIM(SUBSTITUTE(UPPER(E17),CHAR(160),"")))
     )
  ),
  0
)</f>
        <v>1</v>
      </c>
      <c r="H17" s="8" cm="1">
        <f t="array" ref="H17">IFERROR(
  IF(D17&lt;&gt;"Geoffroy",
     0,
     SUMPRODUCT(
       (TRIM(SUBSTITUTE(UPPER($B$2:$B17),CHAR(160),""))=TRIM(SUBSTITUTE(UPPER(B17),CHAR(160),"")))*
       (TRIM(SUBSTITUTE(UPPER($C$2:$C17),CHAR(160),""))=TRIM(SUBSTITUTE(UPPER(C17),CHAR(160),"")))*
       (TRIM(SUBSTITUTE(UPPER($D$2:$D17),CHAR(160),""))=TRIM(SUBSTITUTE(UPPER(D17),CHAR(160),"")))*
       (TRIM(SUBSTITUTE(UPPER($E$2:$E17),CHAR(160),""))=TRIM(SUBSTITUTE(UPPER(E17),CHAR(160),"")))
     )
  ),
  0
)</f>
        <v>0</v>
      </c>
      <c r="I17" s="8" cm="1">
        <f t="array" ref="I17">IFERROR(
  IF(D17&lt;&gt;"Tiphaine",
     0,
     SUMPRODUCT(
       (TRIM(SUBSTITUTE(UPPER($B$2:$B17),CHAR(160),""))=TRIM(SUBSTITUTE(UPPER(B17),CHAR(160),"")))*
       (TRIM(SUBSTITUTE(UPPER($C$2:$C17),CHAR(160),""))=TRIM(SUBSTITUTE(UPPER(C17),CHAR(160),"")))*
       (TRIM(SUBSTITUTE(UPPER($D$2:$D17),CHAR(160),""))=TRIM(SUBSTITUTE(UPPER(D17),CHAR(160),"")))*
       (TRIM(SUBSTITUTE(UPPER($E$2:$E17),CHAR(160),""))=TRIM(SUBSTITUTE(UPPER(E17),CHAR(160),"")))
     )
  ),
  0
)</f>
        <v>0</v>
      </c>
      <c r="J17" s="8" cm="1">
        <f t="array" ref="J17">IFERROR(
  IF(D17&lt;&gt;"Catherine",
     0,
     SUMPRODUCT(
       (TRIM(SUBSTITUTE(UPPER($B$2:$B17),CHAR(160),""))=TRIM(SUBSTITUTE(UPPER(B17),CHAR(160),"")))*
       (TRIM(SUBSTITUTE(UPPER($C$2:$C17),CHAR(160),""))=TRIM(SUBSTITUTE(UPPER(C17),CHAR(160),"")))*
       (TRIM(SUBSTITUTE(UPPER($D$2:$D17),CHAR(160),""))=TRIM(SUBSTITUTE(UPPER(D17),CHAR(160),"")))*
       (TRIM(SUBSTITUTE(UPPER($E$2:$E17),CHAR(160),""))=TRIM(SUBSTITUTE(UPPER(E17),CHAR(160),"")))
     )
  ),
  0
)</f>
        <v>0</v>
      </c>
      <c r="K17" s="9">
        <f>IFERROR(
  IF(
    D17&lt;&gt;"Cédric",
    0,
    IF(
      C17="",
      IF(
        COUNTIFS($B$2:B17,B17,$E$2:E17,E17,$D$2:D17,D17)=1,
        INDEX([1]DB!$A:$A,MATCH($E17,[1]DB!$D:$D,0)),
        IF(
          COUNTIFS($B$2:B17,B17,$E$2:E17,E17,$D$2:D17,D17)=2,
          INDEX([1]DB!$B:$B,MATCH($E17,[1]DB!$D:$D,0)),
          INDEX([1]DB!$C:$C,MATCH($E17,[1]DB!$D:$D,0))
        )
      ),
      IF(
        COUNTIFS($C$2:C17,C17,$E$2:E17,E17,$D$2:D17,D17)=1,
        INDEX([1]DB!$A:$A,MATCH($E17,[1]DB!$D:$D,0)),
        IF(
          COUNTIFS($C$2:C17,C17,$E$2:E17,E17,$D$2:D17,D17)=2,
          INDEX([1]DB!$B:$B,MATCH($E17,[1]DB!$D:$D,0)),
          INDEX([1]DB!$C:$C,MATCH($E17,[1]DB!$D:$D,0))
        )
      )
    )
  ),
  0
)</f>
        <v>10</v>
      </c>
      <c r="L17" s="9">
        <f>IFERROR(
  IF(
    D17&lt;&gt;"Geoffroy",
    0,
    IF(
      C17="",
      IF(
        COUNTIFS($B$2:B17,B17,$E$2:E17,E17,$D$2:D17,D17)=1,
        INDEX([1]DB!$A:$A,MATCH($E17,[1]DB!$D:$D,0)),
        IF(
          COUNTIFS($B$2:B17,B17,$E$2:E17,E17,$D$2:D17,D17)=2,
          INDEX([1]DB!$B:$B,MATCH($E17,[1]DB!$D:$D,0)),
          INDEX([1]DB!$C:$C,MATCH($E17,[1]DB!$D:$D,0))
        )
      ),
      IF(
        COUNTIFS($C$2:C17,C17,$E$2:E17,E17,$D$2:D17,D17)=1,
        INDEX([1]DB!$A:$A,MATCH($E17,[1]DB!$D:$D,0)),
        IF(
          COUNTIFS($C$2:C17,C17,$E$2:E17,E17,$D$2:D17,D17)=2,
          INDEX([1]DB!$B:$B,MATCH($E17,[1]DB!$D:$D,0)),
          INDEX([1]DB!$C:$C,MATCH($E17,[1]DB!$D:$D,0))
        )
      )
    )
  ),
  0
)</f>
        <v>0</v>
      </c>
      <c r="M17" s="9">
        <f>IFERROR(
  IF(
    D17&lt;&gt;"Tiphaine",
    0,
    IF(
      C17="",
      IF(
        COUNTIFS($B$2:B17,B17,$E$2:E17,E17,$D$2:D17,D17)=1,
        INDEX([1]DB!$A:$A,MATCH($E17,[1]DB!$D:$D,0)),
        IF(
          COUNTIFS($B$2:B17,B17,$E$2:E17,E17,$D$2:D17,D17)=2,
          INDEX([1]DB!$B:$B,MATCH($E17,[1]DB!$D:$D,0)),
          INDEX([1]DB!$C:$C,MATCH($E17,[1]DB!$D:$D,0))
        )
      ),
      IF(
        COUNTIFS($C$2:C17,C17,$E$2:E17,E17,$D$2:D17,D17)=1,
        INDEX([1]DB!$A:$A,MATCH($E17,[1]DB!$D:$D,0)),
        IF(
          COUNTIFS($C$2:C17,C17,$E$2:E17,E17,$D$2:D17,D17)=2,
          INDEX([1]DB!$B:$B,MATCH($E17,[1]DB!$D:$D,0)),
          INDEX([1]DB!$C:$C,MATCH($E17,[1]DB!$D:$D,0))
        )
      )
    )
  ),
  0
)</f>
        <v>0</v>
      </c>
      <c r="N17" s="9">
        <f>IFERROR(
  IF(
    D17&lt;&gt;"Catherine",
    0,
    IF(
      C17="",
      IF(
        COUNTIFS($B$2:B17,B17,$E$2:E17,E17,$D$2:D17,D17)=1,
        INDEX([1]DB!$A:$A,MATCH($E17,[1]DB!$D:$D,0)),
        IF(
          COUNTIFS($B$2:B17,B17,$E$2:E17,E17,$D$2:D17,D17)=2,
          INDEX([1]DB!$B:$B,MATCH($E17,[1]DB!$D:$D,0)),
          INDEX([1]DB!$C:$C,MATCH($E17,[1]DB!$D:$D,0))
        )
      ),
      IF(
        COUNTIFS($C$2:C17,C17,$E$2:E17,E17,$D$2:D17,D17)=1,
        INDEX([1]DB!$A:$A,MATCH($E17,[1]DB!$D:$D,0)),
        IF(
          COUNTIFS($C$2:C17,C17,$E$2:E17,E17,$D$2:D17,D17)=2,
          INDEX([1]DB!$B:$B,MATCH($E17,[1]DB!$D:$D,0)),
          INDEX([1]DB!$C:$C,MATCH($E17,[1]DB!$D:$D,0))
        )
      )
    )
  ),
  0
)</f>
        <v>0</v>
      </c>
      <c r="O17" s="5" t="str">
        <f>IF(DAY(A17)&lt;=15,UPPER(LEFT(TEXT(A17,"mmmm"),1))&amp;RIGHT(TEXT(A17,"mmmm"),LEN(TEXT(A17,"mmmm"))-1),UPPER(LEFT(TEXT(DATE(YEAR(A17),MONTH(A17)+1,1),"mmmm"),1))&amp;RIGHT(TEXT(DATE(YEAR(A17),MONTH(A17)+1,1),"mmmm"),LEN(TEXT(DATE(YEAR(A17),MONTH(A17)+1,1),"mmmm"))-1))</f>
        <v>Février</v>
      </c>
      <c r="P17" s="6" t="str">
        <f ca="1">IF(AND(A17&lt;=TODAY(),F17&lt;&gt;""),"OK","NON")</f>
        <v>OK</v>
      </c>
    </row>
    <row r="18" spans="1:16">
      <c r="A18" s="4">
        <v>46048</v>
      </c>
      <c r="B18" s="5" t="s">
        <v>45</v>
      </c>
      <c r="C18" s="5" t="s">
        <v>46</v>
      </c>
      <c r="D18" s="6" t="s">
        <v>14</v>
      </c>
      <c r="E18" s="6" t="s">
        <v>18</v>
      </c>
      <c r="F18" s="7">
        <v>6.96</v>
      </c>
      <c r="G18" s="8" cm="1">
        <f t="array" ref="G18">IFERROR(
  IF(D18&lt;&gt;"Cédric",
     0,
     SUMPRODUCT(
       (TRIM(SUBSTITUTE(UPPER($B$2:$B18),CHAR(160),""))=TRIM(SUBSTITUTE(UPPER(B18),CHAR(160),"")))*
       (TRIM(SUBSTITUTE(UPPER($C$2:$C18),CHAR(160),""))=TRIM(SUBSTITUTE(UPPER(C18),CHAR(160),"")))*
       (TRIM(SUBSTITUTE(UPPER($D$2:$D18),CHAR(160),""))=TRIM(SUBSTITUTE(UPPER(D18),CHAR(160),"")))*
       (TRIM(SUBSTITUTE(UPPER($E$2:$E18),CHAR(160),""))=TRIM(SUBSTITUTE(UPPER(E18),CHAR(160),"")))
     )
  ),
  0
)</f>
        <v>1</v>
      </c>
      <c r="H18" s="8" cm="1">
        <f t="array" ref="H18">IFERROR(
  IF(D18&lt;&gt;"Geoffroy",
     0,
     SUMPRODUCT(
       (TRIM(SUBSTITUTE(UPPER($B$2:$B18),CHAR(160),""))=TRIM(SUBSTITUTE(UPPER(B18),CHAR(160),"")))*
       (TRIM(SUBSTITUTE(UPPER($C$2:$C18),CHAR(160),""))=TRIM(SUBSTITUTE(UPPER(C18),CHAR(160),"")))*
       (TRIM(SUBSTITUTE(UPPER($D$2:$D18),CHAR(160),""))=TRIM(SUBSTITUTE(UPPER(D18),CHAR(160),"")))*
       (TRIM(SUBSTITUTE(UPPER($E$2:$E18),CHAR(160),""))=TRIM(SUBSTITUTE(UPPER(E18),CHAR(160),"")))
     )
  ),
  0
)</f>
        <v>0</v>
      </c>
      <c r="I18" s="8" cm="1">
        <f t="array" ref="I18">IFERROR(
  IF(D18&lt;&gt;"Tiphaine",
     0,
     SUMPRODUCT(
       (TRIM(SUBSTITUTE(UPPER($B$2:$B18),CHAR(160),""))=TRIM(SUBSTITUTE(UPPER(B18),CHAR(160),"")))*
       (TRIM(SUBSTITUTE(UPPER($C$2:$C18),CHAR(160),""))=TRIM(SUBSTITUTE(UPPER(C18),CHAR(160),"")))*
       (TRIM(SUBSTITUTE(UPPER($D$2:$D18),CHAR(160),""))=TRIM(SUBSTITUTE(UPPER(D18),CHAR(160),"")))*
       (TRIM(SUBSTITUTE(UPPER($E$2:$E18),CHAR(160),""))=TRIM(SUBSTITUTE(UPPER(E18),CHAR(160),"")))
     )
  ),
  0
)</f>
        <v>0</v>
      </c>
      <c r="J18" s="8" cm="1">
        <f t="array" ref="J18">IFERROR(
  IF(D18&lt;&gt;"Catherine",
     0,
     SUMPRODUCT(
       (TRIM(SUBSTITUTE(UPPER($B$2:$B18),CHAR(160),""))=TRIM(SUBSTITUTE(UPPER(B18),CHAR(160),"")))*
       (TRIM(SUBSTITUTE(UPPER($C$2:$C18),CHAR(160),""))=TRIM(SUBSTITUTE(UPPER(C18),CHAR(160),"")))*
       (TRIM(SUBSTITUTE(UPPER($D$2:$D18),CHAR(160),""))=TRIM(SUBSTITUTE(UPPER(D18),CHAR(160),"")))*
       (TRIM(SUBSTITUTE(UPPER($E$2:$E18),CHAR(160),""))=TRIM(SUBSTITUTE(UPPER(E18),CHAR(160),"")))
     )
  ),
  0
)</f>
        <v>0</v>
      </c>
      <c r="K18" s="9">
        <f>IFERROR(
  IF(
    D18&lt;&gt;"Cédric",
    0,
    IF(
      C18="",
      IF(
        COUNTIFS($B$2:B18,B18,$E$2:E18,E18,$D$2:D18,D18)=1,
        INDEX([1]DB!$A:$A,MATCH($E18,[1]DB!$D:$D,0)),
        IF(
          COUNTIFS($B$2:B18,B18,$E$2:E18,E18,$D$2:D18,D18)=2,
          INDEX([1]DB!$B:$B,MATCH($E18,[1]DB!$D:$D,0)),
          INDEX([1]DB!$C:$C,MATCH($E18,[1]DB!$D:$D,0))
        )
      ),
      IF(
        COUNTIFS($C$2:C18,C18,$E$2:E18,E18,$D$2:D18,D18)=1,
        INDEX([1]DB!$A:$A,MATCH($E18,[1]DB!$D:$D,0)),
        IF(
          COUNTIFS($C$2:C18,C18,$E$2:E18,E18,$D$2:D18,D18)=2,
          INDEX([1]DB!$B:$B,MATCH($E18,[1]DB!$D:$D,0)),
          INDEX([1]DB!$C:$C,MATCH($E18,[1]DB!$D:$D,0))
        )
      )
    )
  ),
  0
)</f>
        <v>10</v>
      </c>
      <c r="L18" s="9">
        <f>IFERROR(
  IF(
    D18&lt;&gt;"Geoffroy",
    0,
    IF(
      C18="",
      IF(
        COUNTIFS($B$2:B18,B18,$E$2:E18,E18,$D$2:D18,D18)=1,
        INDEX([1]DB!$A:$A,MATCH($E18,[1]DB!$D:$D,0)),
        IF(
          COUNTIFS($B$2:B18,B18,$E$2:E18,E18,$D$2:D18,D18)=2,
          INDEX([1]DB!$B:$B,MATCH($E18,[1]DB!$D:$D,0)),
          INDEX([1]DB!$C:$C,MATCH($E18,[1]DB!$D:$D,0))
        )
      ),
      IF(
        COUNTIFS($C$2:C18,C18,$E$2:E18,E18,$D$2:D18,D18)=1,
        INDEX([1]DB!$A:$A,MATCH($E18,[1]DB!$D:$D,0)),
        IF(
          COUNTIFS($C$2:C18,C18,$E$2:E18,E18,$D$2:D18,D18)=2,
          INDEX([1]DB!$B:$B,MATCH($E18,[1]DB!$D:$D,0)),
          INDEX([1]DB!$C:$C,MATCH($E18,[1]DB!$D:$D,0))
        )
      )
    )
  ),
  0
)</f>
        <v>0</v>
      </c>
      <c r="M18" s="9">
        <f>IFERROR(
  IF(
    D18&lt;&gt;"Tiphaine",
    0,
    IF(
      C18="",
      IF(
        COUNTIFS($B$2:B18,B18,$E$2:E18,E18,$D$2:D18,D18)=1,
        INDEX([1]DB!$A:$A,MATCH($E18,[1]DB!$D:$D,0)),
        IF(
          COUNTIFS($B$2:B18,B18,$E$2:E18,E18,$D$2:D18,D18)=2,
          INDEX([1]DB!$B:$B,MATCH($E18,[1]DB!$D:$D,0)),
          INDEX([1]DB!$C:$C,MATCH($E18,[1]DB!$D:$D,0))
        )
      ),
      IF(
        COUNTIFS($C$2:C18,C18,$E$2:E18,E18,$D$2:D18,D18)=1,
        INDEX([1]DB!$A:$A,MATCH($E18,[1]DB!$D:$D,0)),
        IF(
          COUNTIFS($C$2:C18,C18,$E$2:E18,E18,$D$2:D18,D18)=2,
          INDEX([1]DB!$B:$B,MATCH($E18,[1]DB!$D:$D,0)),
          INDEX([1]DB!$C:$C,MATCH($E18,[1]DB!$D:$D,0))
        )
      )
    )
  ),
  0
)</f>
        <v>0</v>
      </c>
      <c r="N18" s="9">
        <f>IFERROR(
  IF(
    D18&lt;&gt;"Catherine",
    0,
    IF(
      C18="",
      IF(
        COUNTIFS($B$2:B18,B18,$E$2:E18,E18,$D$2:D18,D18)=1,
        INDEX([1]DB!$A:$A,MATCH($E18,[1]DB!$D:$D,0)),
        IF(
          COUNTIFS($B$2:B18,B18,$E$2:E18,E18,$D$2:D18,D18)=2,
          INDEX([1]DB!$B:$B,MATCH($E18,[1]DB!$D:$D,0)),
          INDEX([1]DB!$C:$C,MATCH($E18,[1]DB!$D:$D,0))
        )
      ),
      IF(
        COUNTIFS($C$2:C18,C18,$E$2:E18,E18,$D$2:D18,D18)=1,
        INDEX([1]DB!$A:$A,MATCH($E18,[1]DB!$D:$D,0)),
        IF(
          COUNTIFS($C$2:C18,C18,$E$2:E18,E18,$D$2:D18,D18)=2,
          INDEX([1]DB!$B:$B,MATCH($E18,[1]DB!$D:$D,0)),
          INDEX([1]DB!$C:$C,MATCH($E18,[1]DB!$D:$D,0))
        )
      )
    )
  ),
  0
)</f>
        <v>0</v>
      </c>
      <c r="O18" s="5" t="str">
        <f>IF(DAY(A18)&lt;=15,UPPER(LEFT(TEXT(A18,"mmmm"),1))&amp;RIGHT(TEXT(A18,"mmmm"),LEN(TEXT(A18,"mmmm"))-1),UPPER(LEFT(TEXT(DATE(YEAR(A18),MONTH(A18)+1,1),"mmmm"),1))&amp;RIGHT(TEXT(DATE(YEAR(A18),MONTH(A18)+1,1),"mmmm"),LEN(TEXT(DATE(YEAR(A18),MONTH(A18)+1,1),"mmmm"))-1))</f>
        <v>Février</v>
      </c>
      <c r="P18" s="6" t="str">
        <f ca="1">IF(AND(A18&lt;=TODAY(),F18&lt;&gt;""),"OK","NON")</f>
        <v>OK</v>
      </c>
    </row>
    <row r="19" spans="1:16">
      <c r="A19" s="4">
        <v>46048</v>
      </c>
      <c r="B19" s="5" t="s">
        <v>47</v>
      </c>
      <c r="C19" s="5" t="s">
        <v>48</v>
      </c>
      <c r="D19" s="6" t="s">
        <v>14</v>
      </c>
      <c r="E19" s="6" t="s">
        <v>27</v>
      </c>
      <c r="F19" s="7">
        <v>4.57</v>
      </c>
      <c r="G19" s="8" cm="1">
        <f t="array" ref="G19">IFERROR(
  IF(D19&lt;&gt;"Cédric",
     0,
     SUMPRODUCT(
       (TRIM(SUBSTITUTE(UPPER($B$2:$B19),CHAR(160),""))=TRIM(SUBSTITUTE(UPPER(B19),CHAR(160),"")))*
       (TRIM(SUBSTITUTE(UPPER($C$2:$C19),CHAR(160),""))=TRIM(SUBSTITUTE(UPPER(C19),CHAR(160),"")))*
       (TRIM(SUBSTITUTE(UPPER($D$2:$D19),CHAR(160),""))=TRIM(SUBSTITUTE(UPPER(D19),CHAR(160),"")))*
       (TRIM(SUBSTITUTE(UPPER($E$2:$E19),CHAR(160),""))=TRIM(SUBSTITUTE(UPPER(E19),CHAR(160),"")))
     )
  ),
  0
)</f>
        <v>1</v>
      </c>
      <c r="H19" s="8" cm="1">
        <f t="array" ref="H19">IFERROR(
  IF(D19&lt;&gt;"Geoffroy",
     0,
     SUMPRODUCT(
       (TRIM(SUBSTITUTE(UPPER($B$2:$B19),CHAR(160),""))=TRIM(SUBSTITUTE(UPPER(B19),CHAR(160),"")))*
       (TRIM(SUBSTITUTE(UPPER($C$2:$C19),CHAR(160),""))=TRIM(SUBSTITUTE(UPPER(C19),CHAR(160),"")))*
       (TRIM(SUBSTITUTE(UPPER($D$2:$D19),CHAR(160),""))=TRIM(SUBSTITUTE(UPPER(D19),CHAR(160),"")))*
       (TRIM(SUBSTITUTE(UPPER($E$2:$E19),CHAR(160),""))=TRIM(SUBSTITUTE(UPPER(E19),CHAR(160),"")))
     )
  ),
  0
)</f>
        <v>0</v>
      </c>
      <c r="I19" s="8" cm="1">
        <f t="array" ref="I19">IFERROR(
  IF(D19&lt;&gt;"Tiphaine",
     0,
     SUMPRODUCT(
       (TRIM(SUBSTITUTE(UPPER($B$2:$B19),CHAR(160),""))=TRIM(SUBSTITUTE(UPPER(B19),CHAR(160),"")))*
       (TRIM(SUBSTITUTE(UPPER($C$2:$C19),CHAR(160),""))=TRIM(SUBSTITUTE(UPPER(C19),CHAR(160),"")))*
       (TRIM(SUBSTITUTE(UPPER($D$2:$D19),CHAR(160),""))=TRIM(SUBSTITUTE(UPPER(D19),CHAR(160),"")))*
       (TRIM(SUBSTITUTE(UPPER($E$2:$E19),CHAR(160),""))=TRIM(SUBSTITUTE(UPPER(E19),CHAR(160),"")))
     )
  ),
  0
)</f>
        <v>0</v>
      </c>
      <c r="J19" s="8" cm="1">
        <f t="array" ref="J19">IFERROR(
  IF(D19&lt;&gt;"Catherine",
     0,
     SUMPRODUCT(
       (TRIM(SUBSTITUTE(UPPER($B$2:$B19),CHAR(160),""))=TRIM(SUBSTITUTE(UPPER(B19),CHAR(160),"")))*
       (TRIM(SUBSTITUTE(UPPER($C$2:$C19),CHAR(160),""))=TRIM(SUBSTITUTE(UPPER(C19),CHAR(160),"")))*
       (TRIM(SUBSTITUTE(UPPER($D$2:$D19),CHAR(160),""))=TRIM(SUBSTITUTE(UPPER(D19),CHAR(160),"")))*
       (TRIM(SUBSTITUTE(UPPER($E$2:$E19),CHAR(160),""))=TRIM(SUBSTITUTE(UPPER(E19),CHAR(160),"")))
     )
  ),
  0
)</f>
        <v>0</v>
      </c>
      <c r="K19" s="9">
        <f>IFERROR(
  IF(
    D19&lt;&gt;"Cédric",
    0,
    IF(
      C19="",
      IF(
        COUNTIFS($B$2:B19,B19,$E$2:E19,E19,$D$2:D19,D19)=1,
        INDEX([1]DB!$A:$A,MATCH($E19,[1]DB!$D:$D,0)),
        IF(
          COUNTIFS($B$2:B19,B19,$E$2:E19,E19,$D$2:D19,D19)=2,
          INDEX([1]DB!$B:$B,MATCH($E19,[1]DB!$D:$D,0)),
          INDEX([1]DB!$C:$C,MATCH($E19,[1]DB!$D:$D,0))
        )
      ),
      IF(
        COUNTIFS($C$2:C19,C19,$E$2:E19,E19,$D$2:D19,D19)=1,
        INDEX([1]DB!$A:$A,MATCH($E19,[1]DB!$D:$D,0)),
        IF(
          COUNTIFS($C$2:C19,C19,$E$2:E19,E19,$D$2:D19,D19)=2,
          INDEX([1]DB!$B:$B,MATCH($E19,[1]DB!$D:$D,0)),
          INDEX([1]DB!$C:$C,MATCH($E19,[1]DB!$D:$D,0))
        )
      )
    )
  ),
  0
)</f>
        <v>75</v>
      </c>
      <c r="L19" s="9">
        <f>IFERROR(
  IF(
    D19&lt;&gt;"Geoffroy",
    0,
    IF(
      C19="",
      IF(
        COUNTIFS($B$2:B19,B19,$E$2:E19,E19,$D$2:D19,D19)=1,
        INDEX([1]DB!$A:$A,MATCH($E19,[1]DB!$D:$D,0)),
        IF(
          COUNTIFS($B$2:B19,B19,$E$2:E19,E19,$D$2:D19,D19)=2,
          INDEX([1]DB!$B:$B,MATCH($E19,[1]DB!$D:$D,0)),
          INDEX([1]DB!$C:$C,MATCH($E19,[1]DB!$D:$D,0))
        )
      ),
      IF(
        COUNTIFS($C$2:C19,C19,$E$2:E19,E19,$D$2:D19,D19)=1,
        INDEX([1]DB!$A:$A,MATCH($E19,[1]DB!$D:$D,0)),
        IF(
          COUNTIFS($C$2:C19,C19,$E$2:E19,E19,$D$2:D19,D19)=2,
          INDEX([1]DB!$B:$B,MATCH($E19,[1]DB!$D:$D,0)),
          INDEX([1]DB!$C:$C,MATCH($E19,[1]DB!$D:$D,0))
        )
      )
    )
  ),
  0
)</f>
        <v>0</v>
      </c>
      <c r="M19" s="9">
        <f>IFERROR(
  IF(
    D19&lt;&gt;"Tiphaine",
    0,
    IF(
      C19="",
      IF(
        COUNTIFS($B$2:B19,B19,$E$2:E19,E19,$D$2:D19,D19)=1,
        INDEX([1]DB!$A:$A,MATCH($E19,[1]DB!$D:$D,0)),
        IF(
          COUNTIFS($B$2:B19,B19,$E$2:E19,E19,$D$2:D19,D19)=2,
          INDEX([1]DB!$B:$B,MATCH($E19,[1]DB!$D:$D,0)),
          INDEX([1]DB!$C:$C,MATCH($E19,[1]DB!$D:$D,0))
        )
      ),
      IF(
        COUNTIFS($C$2:C19,C19,$E$2:E19,E19,$D$2:D19,D19)=1,
        INDEX([1]DB!$A:$A,MATCH($E19,[1]DB!$D:$D,0)),
        IF(
          COUNTIFS($C$2:C19,C19,$E$2:E19,E19,$D$2:D19,D19)=2,
          INDEX([1]DB!$B:$B,MATCH($E19,[1]DB!$D:$D,0)),
          INDEX([1]DB!$C:$C,MATCH($E19,[1]DB!$D:$D,0))
        )
      )
    )
  ),
  0
)</f>
        <v>0</v>
      </c>
      <c r="N19" s="9">
        <f>IFERROR(
  IF(
    D19&lt;&gt;"Catherine",
    0,
    IF(
      C19="",
      IF(
        COUNTIFS($B$2:B19,B19,$E$2:E19,E19,$D$2:D19,D19)=1,
        INDEX([1]DB!$A:$A,MATCH($E19,[1]DB!$D:$D,0)),
        IF(
          COUNTIFS($B$2:B19,B19,$E$2:E19,E19,$D$2:D19,D19)=2,
          INDEX([1]DB!$B:$B,MATCH($E19,[1]DB!$D:$D,0)),
          INDEX([1]DB!$C:$C,MATCH($E19,[1]DB!$D:$D,0))
        )
      ),
      IF(
        COUNTIFS($C$2:C19,C19,$E$2:E19,E19,$D$2:D19,D19)=1,
        INDEX([1]DB!$A:$A,MATCH($E19,[1]DB!$D:$D,0)),
        IF(
          COUNTIFS($C$2:C19,C19,$E$2:E19,E19,$D$2:D19,D19)=2,
          INDEX([1]DB!$B:$B,MATCH($E19,[1]DB!$D:$D,0)),
          INDEX([1]DB!$C:$C,MATCH($E19,[1]DB!$D:$D,0))
        )
      )
    )
  ),
  0
)</f>
        <v>0</v>
      </c>
      <c r="O19" s="5" t="str">
        <f>IF(DAY(A19)&lt;=15,UPPER(LEFT(TEXT(A19,"mmmm"),1))&amp;RIGHT(TEXT(A19,"mmmm"),LEN(TEXT(A19,"mmmm"))-1),UPPER(LEFT(TEXT(DATE(YEAR(A19),MONTH(A19)+1,1),"mmmm"),1))&amp;RIGHT(TEXT(DATE(YEAR(A19),MONTH(A19)+1,1),"mmmm"),LEN(TEXT(DATE(YEAR(A19),MONTH(A19)+1,1),"mmmm"))-1))</f>
        <v>Février</v>
      </c>
      <c r="P19" s="6" t="str">
        <f ca="1">IF(AND(A19&lt;=TODAY(),F19&lt;&gt;""),"OK","NON")</f>
        <v>OK</v>
      </c>
    </row>
    <row r="20" spans="1:16">
      <c r="A20" s="4">
        <v>46049</v>
      </c>
      <c r="B20" s="5" t="s">
        <v>49</v>
      </c>
      <c r="C20" s="5" t="s">
        <v>50</v>
      </c>
      <c r="D20" s="6" t="s">
        <v>14</v>
      </c>
      <c r="E20" s="6" t="s">
        <v>27</v>
      </c>
      <c r="F20" s="7">
        <v>6.79</v>
      </c>
      <c r="G20" s="8" cm="1">
        <f t="array" ref="G20">IFERROR(
  IF(D20&lt;&gt;"Cédric",
     0,
     SUMPRODUCT(
       (TRIM(SUBSTITUTE(UPPER($B$2:$B20),CHAR(160),""))=TRIM(SUBSTITUTE(UPPER(B20),CHAR(160),"")))*
       (TRIM(SUBSTITUTE(UPPER($C$2:$C20),CHAR(160),""))=TRIM(SUBSTITUTE(UPPER(C20),CHAR(160),"")))*
       (TRIM(SUBSTITUTE(UPPER($D$2:$D20),CHAR(160),""))=TRIM(SUBSTITUTE(UPPER(D20),CHAR(160),"")))*
       (TRIM(SUBSTITUTE(UPPER($E$2:$E20),CHAR(160),""))=TRIM(SUBSTITUTE(UPPER(E20),CHAR(160),"")))
     )
  ),
  0
)</f>
        <v>1</v>
      </c>
      <c r="H20" s="8" cm="1">
        <f t="array" ref="H20">IFERROR(
  IF(D20&lt;&gt;"Geoffroy",
     0,
     SUMPRODUCT(
       (TRIM(SUBSTITUTE(UPPER($B$2:$B20),CHAR(160),""))=TRIM(SUBSTITUTE(UPPER(B20),CHAR(160),"")))*
       (TRIM(SUBSTITUTE(UPPER($C$2:$C20),CHAR(160),""))=TRIM(SUBSTITUTE(UPPER(C20),CHAR(160),"")))*
       (TRIM(SUBSTITUTE(UPPER($D$2:$D20),CHAR(160),""))=TRIM(SUBSTITUTE(UPPER(D20),CHAR(160),"")))*
       (TRIM(SUBSTITUTE(UPPER($E$2:$E20),CHAR(160),""))=TRIM(SUBSTITUTE(UPPER(E20),CHAR(160),"")))
     )
  ),
  0
)</f>
        <v>0</v>
      </c>
      <c r="I20" s="8" cm="1">
        <f t="array" ref="I20">IFERROR(
  IF(D20&lt;&gt;"Tiphaine",
     0,
     SUMPRODUCT(
       (TRIM(SUBSTITUTE(UPPER($B$2:$B20),CHAR(160),""))=TRIM(SUBSTITUTE(UPPER(B20),CHAR(160),"")))*
       (TRIM(SUBSTITUTE(UPPER($C$2:$C20),CHAR(160),""))=TRIM(SUBSTITUTE(UPPER(C20),CHAR(160),"")))*
       (TRIM(SUBSTITUTE(UPPER($D$2:$D20),CHAR(160),""))=TRIM(SUBSTITUTE(UPPER(D20),CHAR(160),"")))*
       (TRIM(SUBSTITUTE(UPPER($E$2:$E20),CHAR(160),""))=TRIM(SUBSTITUTE(UPPER(E20),CHAR(160),"")))
     )
  ),
  0
)</f>
        <v>0</v>
      </c>
      <c r="J20" s="8" cm="1">
        <f t="array" ref="J20">IFERROR(
  IF(D20&lt;&gt;"Catherine",
     0,
     SUMPRODUCT(
       (TRIM(SUBSTITUTE(UPPER($B$2:$B20),CHAR(160),""))=TRIM(SUBSTITUTE(UPPER(B20),CHAR(160),"")))*
       (TRIM(SUBSTITUTE(UPPER($C$2:$C20),CHAR(160),""))=TRIM(SUBSTITUTE(UPPER(C20),CHAR(160),"")))*
       (TRIM(SUBSTITUTE(UPPER($D$2:$D20),CHAR(160),""))=TRIM(SUBSTITUTE(UPPER(D20),CHAR(160),"")))*
       (TRIM(SUBSTITUTE(UPPER($E$2:$E20),CHAR(160),""))=TRIM(SUBSTITUTE(UPPER(E20),CHAR(160),"")))
     )
  ),
  0
)</f>
        <v>0</v>
      </c>
      <c r="K20" s="9">
        <f>IFERROR(
  IF(
    D20&lt;&gt;"Cédric",
    0,
    IF(
      C20="",
      IF(
        COUNTIFS($B$2:B20,B20,$E$2:E20,E20,$D$2:D20,D20)=1,
        INDEX([1]DB!$A:$A,MATCH($E20,[1]DB!$D:$D,0)),
        IF(
          COUNTIFS($B$2:B20,B20,$E$2:E20,E20,$D$2:D20,D20)=2,
          INDEX([1]DB!$B:$B,MATCH($E20,[1]DB!$D:$D,0)),
          INDEX([1]DB!$C:$C,MATCH($E20,[1]DB!$D:$D,0))
        )
      ),
      IF(
        COUNTIFS($C$2:C20,C20,$E$2:E20,E20,$D$2:D20,D20)=1,
        INDEX([1]DB!$A:$A,MATCH($E20,[1]DB!$D:$D,0)),
        IF(
          COUNTIFS($C$2:C20,C20,$E$2:E20,E20,$D$2:D20,D20)=2,
          INDEX([1]DB!$B:$B,MATCH($E20,[1]DB!$D:$D,0)),
          INDEX([1]DB!$C:$C,MATCH($E20,[1]DB!$D:$D,0))
        )
      )
    )
  ),
  0
)</f>
        <v>75</v>
      </c>
      <c r="L20" s="9">
        <f>IFERROR(
  IF(
    D20&lt;&gt;"Geoffroy",
    0,
    IF(
      C20="",
      IF(
        COUNTIFS($B$2:B20,B20,$E$2:E20,E20,$D$2:D20,D20)=1,
        INDEX([1]DB!$A:$A,MATCH($E20,[1]DB!$D:$D,0)),
        IF(
          COUNTIFS($B$2:B20,B20,$E$2:E20,E20,$D$2:D20,D20)=2,
          INDEX([1]DB!$B:$B,MATCH($E20,[1]DB!$D:$D,0)),
          INDEX([1]DB!$C:$C,MATCH($E20,[1]DB!$D:$D,0))
        )
      ),
      IF(
        COUNTIFS($C$2:C20,C20,$E$2:E20,E20,$D$2:D20,D20)=1,
        INDEX([1]DB!$A:$A,MATCH($E20,[1]DB!$D:$D,0)),
        IF(
          COUNTIFS($C$2:C20,C20,$E$2:E20,E20,$D$2:D20,D20)=2,
          INDEX([1]DB!$B:$B,MATCH($E20,[1]DB!$D:$D,0)),
          INDEX([1]DB!$C:$C,MATCH($E20,[1]DB!$D:$D,0))
        )
      )
    )
  ),
  0
)</f>
        <v>0</v>
      </c>
      <c r="M20" s="9">
        <f>IFERROR(
  IF(
    D20&lt;&gt;"Tiphaine",
    0,
    IF(
      C20="",
      IF(
        COUNTIFS($B$2:B20,B20,$E$2:E20,E20,$D$2:D20,D20)=1,
        INDEX([1]DB!$A:$A,MATCH($E20,[1]DB!$D:$D,0)),
        IF(
          COUNTIFS($B$2:B20,B20,$E$2:E20,E20,$D$2:D20,D20)=2,
          INDEX([1]DB!$B:$B,MATCH($E20,[1]DB!$D:$D,0)),
          INDEX([1]DB!$C:$C,MATCH($E20,[1]DB!$D:$D,0))
        )
      ),
      IF(
        COUNTIFS($C$2:C20,C20,$E$2:E20,E20,$D$2:D20,D20)=1,
        INDEX([1]DB!$A:$A,MATCH($E20,[1]DB!$D:$D,0)),
        IF(
          COUNTIFS($C$2:C20,C20,$E$2:E20,E20,$D$2:D20,D20)=2,
          INDEX([1]DB!$B:$B,MATCH($E20,[1]DB!$D:$D,0)),
          INDEX([1]DB!$C:$C,MATCH($E20,[1]DB!$D:$D,0))
        )
      )
    )
  ),
  0
)</f>
        <v>0</v>
      </c>
      <c r="N20" s="9">
        <f>IFERROR(
  IF(
    D20&lt;&gt;"Catherine",
    0,
    IF(
      C20="",
      IF(
        COUNTIFS($B$2:B20,B20,$E$2:E20,E20,$D$2:D20,D20)=1,
        INDEX([1]DB!$A:$A,MATCH($E20,[1]DB!$D:$D,0)),
        IF(
          COUNTIFS($B$2:B20,B20,$E$2:E20,E20,$D$2:D20,D20)=2,
          INDEX([1]DB!$B:$B,MATCH($E20,[1]DB!$D:$D,0)),
          INDEX([1]DB!$C:$C,MATCH($E20,[1]DB!$D:$D,0))
        )
      ),
      IF(
        COUNTIFS($C$2:C20,C20,$E$2:E20,E20,$D$2:D20,D20)=1,
        INDEX([1]DB!$A:$A,MATCH($E20,[1]DB!$D:$D,0)),
        IF(
          COUNTIFS($C$2:C20,C20,$E$2:E20,E20,$D$2:D20,D20)=2,
          INDEX([1]DB!$B:$B,MATCH($E20,[1]DB!$D:$D,0)),
          INDEX([1]DB!$C:$C,MATCH($E20,[1]DB!$D:$D,0))
        )
      )
    )
  ),
  0
)</f>
        <v>0</v>
      </c>
      <c r="O20" s="5" t="str">
        <f>IF(DAY(A20)&lt;=15,UPPER(LEFT(TEXT(A20,"mmmm"),1))&amp;RIGHT(TEXT(A20,"mmmm"),LEN(TEXT(A20,"mmmm"))-1),UPPER(LEFT(TEXT(DATE(YEAR(A20),MONTH(A20)+1,1),"mmmm"),1))&amp;RIGHT(TEXT(DATE(YEAR(A20),MONTH(A20)+1,1),"mmmm"),LEN(TEXT(DATE(YEAR(A20),MONTH(A20)+1,1),"mmmm"))-1))</f>
        <v>Février</v>
      </c>
      <c r="P20" s="6" t="str">
        <f ca="1">IF(AND(A20&lt;=TODAY(),F20&lt;&gt;""),"OK","NON")</f>
        <v>OK</v>
      </c>
    </row>
    <row r="21" spans="1:16">
      <c r="A21" s="4">
        <v>46050</v>
      </c>
      <c r="B21" s="5" t="s">
        <v>37</v>
      </c>
      <c r="C21" s="10" t="s">
        <v>51</v>
      </c>
      <c r="D21" s="6" t="s">
        <v>14</v>
      </c>
      <c r="E21" s="6" t="s">
        <v>27</v>
      </c>
      <c r="F21" s="7">
        <v>7.53</v>
      </c>
      <c r="G21" s="8" cm="1">
        <f t="array" ref="G21">IFERROR(
  IF(D21&lt;&gt;"Cédric",
     0,
     SUMPRODUCT(
       (TRIM(SUBSTITUTE(UPPER($B$2:$B21),CHAR(160),""))=TRIM(SUBSTITUTE(UPPER(B21),CHAR(160),"")))*
       (TRIM(SUBSTITUTE(UPPER($C$2:$C21),CHAR(160),""))=TRIM(SUBSTITUTE(UPPER(C21),CHAR(160),"")))*
       (TRIM(SUBSTITUTE(UPPER($D$2:$D21),CHAR(160),""))=TRIM(SUBSTITUTE(UPPER(D21),CHAR(160),"")))*
       (TRIM(SUBSTITUTE(UPPER($E$2:$E21),CHAR(160),""))=TRIM(SUBSTITUTE(UPPER(E21),CHAR(160),"")))
     )
  ),
  0
)</f>
        <v>1</v>
      </c>
      <c r="H21" s="8" cm="1">
        <f t="array" ref="H21">IFERROR(
  IF(D21&lt;&gt;"Geoffroy",
     0,
     SUMPRODUCT(
       (TRIM(SUBSTITUTE(UPPER($B$2:$B21),CHAR(160),""))=TRIM(SUBSTITUTE(UPPER(B21),CHAR(160),"")))*
       (TRIM(SUBSTITUTE(UPPER($C$2:$C21),CHAR(160),""))=TRIM(SUBSTITUTE(UPPER(C21),CHAR(160),"")))*
       (TRIM(SUBSTITUTE(UPPER($D$2:$D21),CHAR(160),""))=TRIM(SUBSTITUTE(UPPER(D21),CHAR(160),"")))*
       (TRIM(SUBSTITUTE(UPPER($E$2:$E21),CHAR(160),""))=TRIM(SUBSTITUTE(UPPER(E21),CHAR(160),"")))
     )
  ),
  0
)</f>
        <v>0</v>
      </c>
      <c r="I21" s="8" cm="1">
        <f t="array" ref="I21">IFERROR(
  IF(D21&lt;&gt;"Tiphaine",
     0,
     SUMPRODUCT(
       (TRIM(SUBSTITUTE(UPPER($B$2:$B21),CHAR(160),""))=TRIM(SUBSTITUTE(UPPER(B21),CHAR(160),"")))*
       (TRIM(SUBSTITUTE(UPPER($C$2:$C21),CHAR(160),""))=TRIM(SUBSTITUTE(UPPER(C21),CHAR(160),"")))*
       (TRIM(SUBSTITUTE(UPPER($D$2:$D21),CHAR(160),""))=TRIM(SUBSTITUTE(UPPER(D21),CHAR(160),"")))*
       (TRIM(SUBSTITUTE(UPPER($E$2:$E21),CHAR(160),""))=TRIM(SUBSTITUTE(UPPER(E21),CHAR(160),"")))
     )
  ),
  0
)</f>
        <v>0</v>
      </c>
      <c r="J21" s="8" cm="1">
        <f t="array" ref="J21">IFERROR(
  IF(D21&lt;&gt;"Catherine",
     0,
     SUMPRODUCT(
       (TRIM(SUBSTITUTE(UPPER($B$2:$B21),CHAR(160),""))=TRIM(SUBSTITUTE(UPPER(B21),CHAR(160),"")))*
       (TRIM(SUBSTITUTE(UPPER($C$2:$C21),CHAR(160),""))=TRIM(SUBSTITUTE(UPPER(C21),CHAR(160),"")))*
       (TRIM(SUBSTITUTE(UPPER($D$2:$D21),CHAR(160),""))=TRIM(SUBSTITUTE(UPPER(D21),CHAR(160),"")))*
       (TRIM(SUBSTITUTE(UPPER($E$2:$E21),CHAR(160),""))=TRIM(SUBSTITUTE(UPPER(E21),CHAR(160),"")))
     )
  ),
  0
)</f>
        <v>0</v>
      </c>
      <c r="K21" s="9">
        <f>IFERROR(
  IF(
    D21&lt;&gt;"Cédric",
    0,
    IF(
      C21="",
      IF(
        COUNTIFS($B$2:B21,B21,$E$2:E21,E21,$D$2:D21,D21)=1,
        INDEX([1]DB!$A:$A,MATCH($E21,[1]DB!$D:$D,0)),
        IF(
          COUNTIFS($B$2:B21,B21,$E$2:E21,E21,$D$2:D21,D21)=2,
          INDEX([1]DB!$B:$B,MATCH($E21,[1]DB!$D:$D,0)),
          INDEX([1]DB!$C:$C,MATCH($E21,[1]DB!$D:$D,0))
        )
      ),
      IF(
        COUNTIFS($C$2:C21,C21,$E$2:E21,E21,$D$2:D21,D21)=1,
        INDEX([1]DB!$A:$A,MATCH($E21,[1]DB!$D:$D,0)),
        IF(
          COUNTIFS($C$2:C21,C21,$E$2:E21,E21,$D$2:D21,D21)=2,
          INDEX([1]DB!$B:$B,MATCH($E21,[1]DB!$D:$D,0)),
          INDEX([1]DB!$C:$C,MATCH($E21,[1]DB!$D:$D,0))
        )
      )
    )
  ),
  0
)</f>
        <v>75</v>
      </c>
      <c r="L21" s="9">
        <f>IFERROR(
  IF(
    D21&lt;&gt;"Geoffroy",
    0,
    IF(
      C21="",
      IF(
        COUNTIFS($B$2:B21,B21,$E$2:E21,E21,$D$2:D21,D21)=1,
        INDEX([1]DB!$A:$A,MATCH($E21,[1]DB!$D:$D,0)),
        IF(
          COUNTIFS($B$2:B21,B21,$E$2:E21,E21,$D$2:D21,D21)=2,
          INDEX([1]DB!$B:$B,MATCH($E21,[1]DB!$D:$D,0)),
          INDEX([1]DB!$C:$C,MATCH($E21,[1]DB!$D:$D,0))
        )
      ),
      IF(
        COUNTIFS($C$2:C21,C21,$E$2:E21,E21,$D$2:D21,D21)=1,
        INDEX([1]DB!$A:$A,MATCH($E21,[1]DB!$D:$D,0)),
        IF(
          COUNTIFS($C$2:C21,C21,$E$2:E21,E21,$D$2:D21,D21)=2,
          INDEX([1]DB!$B:$B,MATCH($E21,[1]DB!$D:$D,0)),
          INDEX([1]DB!$C:$C,MATCH($E21,[1]DB!$D:$D,0))
        )
      )
    )
  ),
  0
)</f>
        <v>0</v>
      </c>
      <c r="M21" s="9">
        <f>IFERROR(
  IF(
    D21&lt;&gt;"Tiphaine",
    0,
    IF(
      C21="",
      IF(
        COUNTIFS($B$2:B21,B21,$E$2:E21,E21,$D$2:D21,D21)=1,
        INDEX([1]DB!$A:$A,MATCH($E21,[1]DB!$D:$D,0)),
        IF(
          COUNTIFS($B$2:B21,B21,$E$2:E21,E21,$D$2:D21,D21)=2,
          INDEX([1]DB!$B:$B,MATCH($E21,[1]DB!$D:$D,0)),
          INDEX([1]DB!$C:$C,MATCH($E21,[1]DB!$D:$D,0))
        )
      ),
      IF(
        COUNTIFS($C$2:C21,C21,$E$2:E21,E21,$D$2:D21,D21)=1,
        INDEX([1]DB!$A:$A,MATCH($E21,[1]DB!$D:$D,0)),
        IF(
          COUNTIFS($C$2:C21,C21,$E$2:E21,E21,$D$2:D21,D21)=2,
          INDEX([1]DB!$B:$B,MATCH($E21,[1]DB!$D:$D,0)),
          INDEX([1]DB!$C:$C,MATCH($E21,[1]DB!$D:$D,0))
        )
      )
    )
  ),
  0
)</f>
        <v>0</v>
      </c>
      <c r="N21" s="9">
        <f>IFERROR(
  IF(
    D21&lt;&gt;"Catherine",
    0,
    IF(
      C21="",
      IF(
        COUNTIFS($B$2:B21,B21,$E$2:E21,E21,$D$2:D21,D21)=1,
        INDEX([1]DB!$A:$A,MATCH($E21,[1]DB!$D:$D,0)),
        IF(
          COUNTIFS($B$2:B21,B21,$E$2:E21,E21,$D$2:D21,D21)=2,
          INDEX([1]DB!$B:$B,MATCH($E21,[1]DB!$D:$D,0)),
          INDEX([1]DB!$C:$C,MATCH($E21,[1]DB!$D:$D,0))
        )
      ),
      IF(
        COUNTIFS($C$2:C21,C21,$E$2:E21,E21,$D$2:D21,D21)=1,
        INDEX([1]DB!$A:$A,MATCH($E21,[1]DB!$D:$D,0)),
        IF(
          COUNTIFS($C$2:C21,C21,$E$2:E21,E21,$D$2:D21,D21)=2,
          INDEX([1]DB!$B:$B,MATCH($E21,[1]DB!$D:$D,0)),
          INDEX([1]DB!$C:$C,MATCH($E21,[1]DB!$D:$D,0))
        )
      )
    )
  ),
  0
)</f>
        <v>0</v>
      </c>
      <c r="O21" s="5" t="str">
        <f>IF(DAY(A21)&lt;=15,UPPER(LEFT(TEXT(A21,"mmmm"),1))&amp;RIGHT(TEXT(A21,"mmmm"),LEN(TEXT(A21,"mmmm"))-1),UPPER(LEFT(TEXT(DATE(YEAR(A21),MONTH(A21)+1,1),"mmmm"),1))&amp;RIGHT(TEXT(DATE(YEAR(A21),MONTH(A21)+1,1),"mmmm"),LEN(TEXT(DATE(YEAR(A21),MONTH(A21)+1,1),"mmmm"))-1))</f>
        <v>Février</v>
      </c>
      <c r="P21" s="6" t="str">
        <f ca="1">IF(AND(A21&lt;=TODAY(),F21&lt;&gt;""),"OK","NON")</f>
        <v>OK</v>
      </c>
    </row>
    <row r="22" spans="1:16">
      <c r="A22" s="4">
        <v>46052</v>
      </c>
      <c r="B22" s="5" t="s">
        <v>52</v>
      </c>
      <c r="C22" s="5" t="s">
        <v>53</v>
      </c>
      <c r="D22" s="6" t="s">
        <v>14</v>
      </c>
      <c r="E22" s="6" t="s">
        <v>27</v>
      </c>
      <c r="F22" s="7">
        <v>7.41</v>
      </c>
      <c r="G22" s="8" cm="1">
        <f t="array" ref="G22">IFERROR(
  IF(D22&lt;&gt;"Cédric",
     0,
     SUMPRODUCT(
       (TRIM(SUBSTITUTE(UPPER($B$2:$B22),CHAR(160),""))=TRIM(SUBSTITUTE(UPPER(B22),CHAR(160),"")))*
       (TRIM(SUBSTITUTE(UPPER($C$2:$C22),CHAR(160),""))=TRIM(SUBSTITUTE(UPPER(C22),CHAR(160),"")))*
       (TRIM(SUBSTITUTE(UPPER($D$2:$D22),CHAR(160),""))=TRIM(SUBSTITUTE(UPPER(D22),CHAR(160),"")))*
       (TRIM(SUBSTITUTE(UPPER($E$2:$E22),CHAR(160),""))=TRIM(SUBSTITUTE(UPPER(E22),CHAR(160),"")))
     )
  ),
  0
)</f>
        <v>1</v>
      </c>
      <c r="H22" s="8" cm="1">
        <f t="array" ref="H22">IFERROR(
  IF(D22&lt;&gt;"Geoffroy",
     0,
     SUMPRODUCT(
       (TRIM(SUBSTITUTE(UPPER($B$2:$B22),CHAR(160),""))=TRIM(SUBSTITUTE(UPPER(B22),CHAR(160),"")))*
       (TRIM(SUBSTITUTE(UPPER($C$2:$C22),CHAR(160),""))=TRIM(SUBSTITUTE(UPPER(C22),CHAR(160),"")))*
       (TRIM(SUBSTITUTE(UPPER($D$2:$D22),CHAR(160),""))=TRIM(SUBSTITUTE(UPPER(D22),CHAR(160),"")))*
       (TRIM(SUBSTITUTE(UPPER($E$2:$E22),CHAR(160),""))=TRIM(SUBSTITUTE(UPPER(E22),CHAR(160),"")))
     )
  ),
  0
)</f>
        <v>0</v>
      </c>
      <c r="I22" s="8" cm="1">
        <f t="array" ref="I22">IFERROR(
  IF(D22&lt;&gt;"Tiphaine",
     0,
     SUMPRODUCT(
       (TRIM(SUBSTITUTE(UPPER($B$2:$B22),CHAR(160),""))=TRIM(SUBSTITUTE(UPPER(B22),CHAR(160),"")))*
       (TRIM(SUBSTITUTE(UPPER($C$2:$C22),CHAR(160),""))=TRIM(SUBSTITUTE(UPPER(C22),CHAR(160),"")))*
       (TRIM(SUBSTITUTE(UPPER($D$2:$D22),CHAR(160),""))=TRIM(SUBSTITUTE(UPPER(D22),CHAR(160),"")))*
       (TRIM(SUBSTITUTE(UPPER($E$2:$E22),CHAR(160),""))=TRIM(SUBSTITUTE(UPPER(E22),CHAR(160),"")))
     )
  ),
  0
)</f>
        <v>0</v>
      </c>
      <c r="J22" s="8" cm="1">
        <f t="array" ref="J22">IFERROR(
  IF(D22&lt;&gt;"Catherine",
     0,
     SUMPRODUCT(
       (TRIM(SUBSTITUTE(UPPER($B$2:$B22),CHAR(160),""))=TRIM(SUBSTITUTE(UPPER(B22),CHAR(160),"")))*
       (TRIM(SUBSTITUTE(UPPER($C$2:$C22),CHAR(160),""))=TRIM(SUBSTITUTE(UPPER(C22),CHAR(160),"")))*
       (TRIM(SUBSTITUTE(UPPER($D$2:$D22),CHAR(160),""))=TRIM(SUBSTITUTE(UPPER(D22),CHAR(160),"")))*
       (TRIM(SUBSTITUTE(UPPER($E$2:$E22),CHAR(160),""))=TRIM(SUBSTITUTE(UPPER(E22),CHAR(160),"")))
     )
  ),
  0
)</f>
        <v>0</v>
      </c>
      <c r="K22" s="9">
        <f>IFERROR(
  IF(
    D22&lt;&gt;"Cédric",
    0,
    IF(
      C22="",
      IF(
        COUNTIFS($B$2:B22,B22,$E$2:E22,E22,$D$2:D22,D22)=1,
        INDEX([1]DB!$A:$A,MATCH($E22,[1]DB!$D:$D,0)),
        IF(
          COUNTIFS($B$2:B22,B22,$E$2:E22,E22,$D$2:D22,D22)=2,
          INDEX([1]DB!$B:$B,MATCH($E22,[1]DB!$D:$D,0)),
          INDEX([1]DB!$C:$C,MATCH($E22,[1]DB!$D:$D,0))
        )
      ),
      IF(
        COUNTIFS($C$2:C22,C22,$E$2:E22,E22,$D$2:D22,D22)=1,
        INDEX([1]DB!$A:$A,MATCH($E22,[1]DB!$D:$D,0)),
        IF(
          COUNTIFS($C$2:C22,C22,$E$2:E22,E22,$D$2:D22,D22)=2,
          INDEX([1]DB!$B:$B,MATCH($E22,[1]DB!$D:$D,0)),
          INDEX([1]DB!$C:$C,MATCH($E22,[1]DB!$D:$D,0))
        )
      )
    )
  ),
  0
)</f>
        <v>75</v>
      </c>
      <c r="L22" s="9">
        <f>IFERROR(
  IF(
    D22&lt;&gt;"Geoffroy",
    0,
    IF(
      C22="",
      IF(
        COUNTIFS($B$2:B22,B22,$E$2:E22,E22,$D$2:D22,D22)=1,
        INDEX([1]DB!$A:$A,MATCH($E22,[1]DB!$D:$D,0)),
        IF(
          COUNTIFS($B$2:B22,B22,$E$2:E22,E22,$D$2:D22,D22)=2,
          INDEX([1]DB!$B:$B,MATCH($E22,[1]DB!$D:$D,0)),
          INDEX([1]DB!$C:$C,MATCH($E22,[1]DB!$D:$D,0))
        )
      ),
      IF(
        COUNTIFS($C$2:C22,C22,$E$2:E22,E22,$D$2:D22,D22)=1,
        INDEX([1]DB!$A:$A,MATCH($E22,[1]DB!$D:$D,0)),
        IF(
          COUNTIFS($C$2:C22,C22,$E$2:E22,E22,$D$2:D22,D22)=2,
          INDEX([1]DB!$B:$B,MATCH($E22,[1]DB!$D:$D,0)),
          INDEX([1]DB!$C:$C,MATCH($E22,[1]DB!$D:$D,0))
        )
      )
    )
  ),
  0
)</f>
        <v>0</v>
      </c>
      <c r="M22" s="9">
        <f>IFERROR(
  IF(
    D22&lt;&gt;"Tiphaine",
    0,
    IF(
      C22="",
      IF(
        COUNTIFS($B$2:B22,B22,$E$2:E22,E22,$D$2:D22,D22)=1,
        INDEX([1]DB!$A:$A,MATCH($E22,[1]DB!$D:$D,0)),
        IF(
          COUNTIFS($B$2:B22,B22,$E$2:E22,E22,$D$2:D22,D22)=2,
          INDEX([1]DB!$B:$B,MATCH($E22,[1]DB!$D:$D,0)),
          INDEX([1]DB!$C:$C,MATCH($E22,[1]DB!$D:$D,0))
        )
      ),
      IF(
        COUNTIFS($C$2:C22,C22,$E$2:E22,E22,$D$2:D22,D22)=1,
        INDEX([1]DB!$A:$A,MATCH($E22,[1]DB!$D:$D,0)),
        IF(
          COUNTIFS($C$2:C22,C22,$E$2:E22,E22,$D$2:D22,D22)=2,
          INDEX([1]DB!$B:$B,MATCH($E22,[1]DB!$D:$D,0)),
          INDEX([1]DB!$C:$C,MATCH($E22,[1]DB!$D:$D,0))
        )
      )
    )
  ),
  0
)</f>
        <v>0</v>
      </c>
      <c r="N22" s="9">
        <f>IFERROR(
  IF(
    D22&lt;&gt;"Catherine",
    0,
    IF(
      C22="",
      IF(
        COUNTIFS($B$2:B22,B22,$E$2:E22,E22,$D$2:D22,D22)=1,
        INDEX([1]DB!$A:$A,MATCH($E22,[1]DB!$D:$D,0)),
        IF(
          COUNTIFS($B$2:B22,B22,$E$2:E22,E22,$D$2:D22,D22)=2,
          INDEX([1]DB!$B:$B,MATCH($E22,[1]DB!$D:$D,0)),
          INDEX([1]DB!$C:$C,MATCH($E22,[1]DB!$D:$D,0))
        )
      ),
      IF(
        COUNTIFS($C$2:C22,C22,$E$2:E22,E22,$D$2:D22,D22)=1,
        INDEX([1]DB!$A:$A,MATCH($E22,[1]DB!$D:$D,0)),
        IF(
          COUNTIFS($C$2:C22,C22,$E$2:E22,E22,$D$2:D22,D22)=2,
          INDEX([1]DB!$B:$B,MATCH($E22,[1]DB!$D:$D,0)),
          INDEX([1]DB!$C:$C,MATCH($E22,[1]DB!$D:$D,0))
        )
      )
    )
  ),
  0
)</f>
        <v>0</v>
      </c>
      <c r="O22" s="5" t="str">
        <f>IF(DAY(A22)&lt;=15,UPPER(LEFT(TEXT(A22,"mmmm"),1))&amp;RIGHT(TEXT(A22,"mmmm"),LEN(TEXT(A22,"mmmm"))-1),UPPER(LEFT(TEXT(DATE(YEAR(A22),MONTH(A22)+1,1),"mmmm"),1))&amp;RIGHT(TEXT(DATE(YEAR(A22),MONTH(A22)+1,1),"mmmm"),LEN(TEXT(DATE(YEAR(A22),MONTH(A22)+1,1),"mmmm"))-1))</f>
        <v>Février</v>
      </c>
      <c r="P22" s="6" t="str">
        <f ca="1">IF(AND(A22&lt;=TODAY(),F22&lt;&gt;""),"OK","NON")</f>
        <v>OK</v>
      </c>
    </row>
    <row r="23" spans="1:16">
      <c r="A23" s="4">
        <v>46055</v>
      </c>
      <c r="B23" s="5" t="s">
        <v>54</v>
      </c>
      <c r="C23" s="5" t="s">
        <v>55</v>
      </c>
      <c r="D23" s="6" t="s">
        <v>14</v>
      </c>
      <c r="E23" s="6" t="s">
        <v>27</v>
      </c>
      <c r="F23" s="7">
        <v>8.52</v>
      </c>
      <c r="G23" s="8" cm="1">
        <f t="array" ref="G23">IFERROR(
  IF(D23&lt;&gt;"Cédric",
     0,
     SUMPRODUCT(
       (TRIM(SUBSTITUTE(UPPER($B$2:$B23),CHAR(160),""))=TRIM(SUBSTITUTE(UPPER(B23),CHAR(160),"")))*
       (TRIM(SUBSTITUTE(UPPER($C$2:$C23),CHAR(160),""))=TRIM(SUBSTITUTE(UPPER(C23),CHAR(160),"")))*
       (TRIM(SUBSTITUTE(UPPER($D$2:$D23),CHAR(160),""))=TRIM(SUBSTITUTE(UPPER(D23),CHAR(160),"")))*
       (TRIM(SUBSTITUTE(UPPER($E$2:$E23),CHAR(160),""))=TRIM(SUBSTITUTE(UPPER(E23),CHAR(160),"")))
     )
  ),
  0
)</f>
        <v>1</v>
      </c>
      <c r="H23" s="8" cm="1">
        <f t="array" ref="H23">IFERROR(
  IF(D23&lt;&gt;"Geoffroy",
     0,
     SUMPRODUCT(
       (TRIM(SUBSTITUTE(UPPER($B$2:$B23),CHAR(160),""))=TRIM(SUBSTITUTE(UPPER(B23),CHAR(160),"")))*
       (TRIM(SUBSTITUTE(UPPER($C$2:$C23),CHAR(160),""))=TRIM(SUBSTITUTE(UPPER(C23),CHAR(160),"")))*
       (TRIM(SUBSTITUTE(UPPER($D$2:$D23),CHAR(160),""))=TRIM(SUBSTITUTE(UPPER(D23),CHAR(160),"")))*
       (TRIM(SUBSTITUTE(UPPER($E$2:$E23),CHAR(160),""))=TRIM(SUBSTITUTE(UPPER(E23),CHAR(160),"")))
     )
  ),
  0
)</f>
        <v>0</v>
      </c>
      <c r="I23" s="8" cm="1">
        <f t="array" ref="I23">IFERROR(
  IF(D23&lt;&gt;"Tiphaine",
     0,
     SUMPRODUCT(
       (TRIM(SUBSTITUTE(UPPER($B$2:$B23),CHAR(160),""))=TRIM(SUBSTITUTE(UPPER(B23),CHAR(160),"")))*
       (TRIM(SUBSTITUTE(UPPER($C$2:$C23),CHAR(160),""))=TRIM(SUBSTITUTE(UPPER(C23),CHAR(160),"")))*
       (TRIM(SUBSTITUTE(UPPER($D$2:$D23),CHAR(160),""))=TRIM(SUBSTITUTE(UPPER(D23),CHAR(160),"")))*
       (TRIM(SUBSTITUTE(UPPER($E$2:$E23),CHAR(160),""))=TRIM(SUBSTITUTE(UPPER(E23),CHAR(160),"")))
     )
  ),
  0
)</f>
        <v>0</v>
      </c>
      <c r="J23" s="8" cm="1">
        <f t="array" ref="J23">IFERROR(
  IF(D23&lt;&gt;"Catherine",
     0,
     SUMPRODUCT(
       (TRIM(SUBSTITUTE(UPPER($B$2:$B23),CHAR(160),""))=TRIM(SUBSTITUTE(UPPER(B23),CHAR(160),"")))*
       (TRIM(SUBSTITUTE(UPPER($C$2:$C23),CHAR(160),""))=TRIM(SUBSTITUTE(UPPER(C23),CHAR(160),"")))*
       (TRIM(SUBSTITUTE(UPPER($D$2:$D23),CHAR(160),""))=TRIM(SUBSTITUTE(UPPER(D23),CHAR(160),"")))*
       (TRIM(SUBSTITUTE(UPPER($E$2:$E23),CHAR(160),""))=TRIM(SUBSTITUTE(UPPER(E23),CHAR(160),"")))
     )
  ),
  0
)</f>
        <v>0</v>
      </c>
      <c r="K23" s="9">
        <f>IFERROR(
  IF(
    D23&lt;&gt;"Cédric",
    0,
    IF(
      C23="",
      IF(
        COUNTIFS($B$2:B23,B23,$E$2:E23,E23,$D$2:D23,D23)=1,
        INDEX([1]DB!$A:$A,MATCH($E23,[1]DB!$D:$D,0)),
        IF(
          COUNTIFS($B$2:B23,B23,$E$2:E23,E23,$D$2:D23,D23)=2,
          INDEX([1]DB!$B:$B,MATCH($E23,[1]DB!$D:$D,0)),
          INDEX([1]DB!$C:$C,MATCH($E23,[1]DB!$D:$D,0))
        )
      ),
      IF(
        COUNTIFS($C$2:C23,C23,$E$2:E23,E23,$D$2:D23,D23)=1,
        INDEX([1]DB!$A:$A,MATCH($E23,[1]DB!$D:$D,0)),
        IF(
          COUNTIFS($C$2:C23,C23,$E$2:E23,E23,$D$2:D23,D23)=2,
          INDEX([1]DB!$B:$B,MATCH($E23,[1]DB!$D:$D,0)),
          INDEX([1]DB!$C:$C,MATCH($E23,[1]DB!$D:$D,0))
        )
      )
    )
  ),
  0
)</f>
        <v>75</v>
      </c>
      <c r="L23" s="9">
        <f>IFERROR(
  IF(
    D23&lt;&gt;"Geoffroy",
    0,
    IF(
      C23="",
      IF(
        COUNTIFS($B$2:B23,B23,$E$2:E23,E23,$D$2:D23,D23)=1,
        INDEX([1]DB!$A:$A,MATCH($E23,[1]DB!$D:$D,0)),
        IF(
          COUNTIFS($B$2:B23,B23,$E$2:E23,E23,$D$2:D23,D23)=2,
          INDEX([1]DB!$B:$B,MATCH($E23,[1]DB!$D:$D,0)),
          INDEX([1]DB!$C:$C,MATCH($E23,[1]DB!$D:$D,0))
        )
      ),
      IF(
        COUNTIFS($C$2:C23,C23,$E$2:E23,E23,$D$2:D23,D23)=1,
        INDEX([1]DB!$A:$A,MATCH($E23,[1]DB!$D:$D,0)),
        IF(
          COUNTIFS($C$2:C23,C23,$E$2:E23,E23,$D$2:D23,D23)=2,
          INDEX([1]DB!$B:$B,MATCH($E23,[1]DB!$D:$D,0)),
          INDEX([1]DB!$C:$C,MATCH($E23,[1]DB!$D:$D,0))
        )
      )
    )
  ),
  0
)</f>
        <v>0</v>
      </c>
      <c r="M23" s="9">
        <f>IFERROR(
  IF(
    D23&lt;&gt;"Tiphaine",
    0,
    IF(
      C23="",
      IF(
        COUNTIFS($B$2:B23,B23,$E$2:E23,E23,$D$2:D23,D23)=1,
        INDEX([1]DB!$A:$A,MATCH($E23,[1]DB!$D:$D,0)),
        IF(
          COUNTIFS($B$2:B23,B23,$E$2:E23,E23,$D$2:D23,D23)=2,
          INDEX([1]DB!$B:$B,MATCH($E23,[1]DB!$D:$D,0)),
          INDEX([1]DB!$C:$C,MATCH($E23,[1]DB!$D:$D,0))
        )
      ),
      IF(
        COUNTIFS($C$2:C23,C23,$E$2:E23,E23,$D$2:D23,D23)=1,
        INDEX([1]DB!$A:$A,MATCH($E23,[1]DB!$D:$D,0)),
        IF(
          COUNTIFS($C$2:C23,C23,$E$2:E23,E23,$D$2:D23,D23)=2,
          INDEX([1]DB!$B:$B,MATCH($E23,[1]DB!$D:$D,0)),
          INDEX([1]DB!$C:$C,MATCH($E23,[1]DB!$D:$D,0))
        )
      )
    )
  ),
  0
)</f>
        <v>0</v>
      </c>
      <c r="N23" s="9">
        <f>IFERROR(
  IF(
    D23&lt;&gt;"Catherine",
    0,
    IF(
      C23="",
      IF(
        COUNTIFS($B$2:B23,B23,$E$2:E23,E23,$D$2:D23,D23)=1,
        INDEX([1]DB!$A:$A,MATCH($E23,[1]DB!$D:$D,0)),
        IF(
          COUNTIFS($B$2:B23,B23,$E$2:E23,E23,$D$2:D23,D23)=2,
          INDEX([1]DB!$B:$B,MATCH($E23,[1]DB!$D:$D,0)),
          INDEX([1]DB!$C:$C,MATCH($E23,[1]DB!$D:$D,0))
        )
      ),
      IF(
        COUNTIFS($C$2:C23,C23,$E$2:E23,E23,$D$2:D23,D23)=1,
        INDEX([1]DB!$A:$A,MATCH($E23,[1]DB!$D:$D,0)),
        IF(
          COUNTIFS($C$2:C23,C23,$E$2:E23,E23,$D$2:D23,D23)=2,
          INDEX([1]DB!$B:$B,MATCH($E23,[1]DB!$D:$D,0)),
          INDEX([1]DB!$C:$C,MATCH($E23,[1]DB!$D:$D,0))
        )
      )
    )
  ),
  0
)</f>
        <v>0</v>
      </c>
      <c r="O23" s="5" t="str">
        <f>IF(DAY(A23)&lt;=15,UPPER(LEFT(TEXT(A23,"mmmm"),1))&amp;RIGHT(TEXT(A23,"mmmm"),LEN(TEXT(A23,"mmmm"))-1),UPPER(LEFT(TEXT(DATE(YEAR(A23),MONTH(A23)+1,1),"mmmm"),1))&amp;RIGHT(TEXT(DATE(YEAR(A23),MONTH(A23)+1,1),"mmmm"),LEN(TEXT(DATE(YEAR(A23),MONTH(A23)+1,1),"mmmm"))-1))</f>
        <v>Février</v>
      </c>
      <c r="P23" s="6" t="str">
        <f ca="1">IF(AND(A23&lt;=TODAY(),F23&lt;&gt;""),"OK","NON")</f>
        <v>OK</v>
      </c>
    </row>
    <row r="24" spans="1:16">
      <c r="A24" s="4">
        <v>46056</v>
      </c>
      <c r="B24" s="5" t="s">
        <v>56</v>
      </c>
      <c r="C24" s="5" t="s">
        <v>57</v>
      </c>
      <c r="D24" s="6" t="s">
        <v>14</v>
      </c>
      <c r="E24" s="6" t="s">
        <v>27</v>
      </c>
      <c r="F24" s="7">
        <v>5.8</v>
      </c>
      <c r="G24" s="8" cm="1">
        <f t="array" ref="G24">IFERROR(
  IF(D24&lt;&gt;"Cédric",
     0,
     SUMPRODUCT(
       (TRIM(SUBSTITUTE(UPPER($B$2:$B24),CHAR(160),""))=TRIM(SUBSTITUTE(UPPER(B24),CHAR(160),"")))*
       (TRIM(SUBSTITUTE(UPPER($C$2:$C24),CHAR(160),""))=TRIM(SUBSTITUTE(UPPER(C24),CHAR(160),"")))*
       (TRIM(SUBSTITUTE(UPPER($D$2:$D24),CHAR(160),""))=TRIM(SUBSTITUTE(UPPER(D24),CHAR(160),"")))*
       (TRIM(SUBSTITUTE(UPPER($E$2:$E24),CHAR(160),""))=TRIM(SUBSTITUTE(UPPER(E24),CHAR(160),"")))
     )
  ),
  0
)</f>
        <v>1</v>
      </c>
      <c r="H24" s="8" cm="1">
        <f t="array" ref="H24">IFERROR(
  IF(D24&lt;&gt;"Geoffroy",
     0,
     SUMPRODUCT(
       (TRIM(SUBSTITUTE(UPPER($B$2:$B24),CHAR(160),""))=TRIM(SUBSTITUTE(UPPER(B24),CHAR(160),"")))*
       (TRIM(SUBSTITUTE(UPPER($C$2:$C24),CHAR(160),""))=TRIM(SUBSTITUTE(UPPER(C24),CHAR(160),"")))*
       (TRIM(SUBSTITUTE(UPPER($D$2:$D24),CHAR(160),""))=TRIM(SUBSTITUTE(UPPER(D24),CHAR(160),"")))*
       (TRIM(SUBSTITUTE(UPPER($E$2:$E24),CHAR(160),""))=TRIM(SUBSTITUTE(UPPER(E24),CHAR(160),"")))
     )
  ),
  0
)</f>
        <v>0</v>
      </c>
      <c r="I24" s="8" cm="1">
        <f t="array" ref="I24">IFERROR(
  IF(D24&lt;&gt;"Tiphaine",
     0,
     SUMPRODUCT(
       (TRIM(SUBSTITUTE(UPPER($B$2:$B24),CHAR(160),""))=TRIM(SUBSTITUTE(UPPER(B24),CHAR(160),"")))*
       (TRIM(SUBSTITUTE(UPPER($C$2:$C24),CHAR(160),""))=TRIM(SUBSTITUTE(UPPER(C24),CHAR(160),"")))*
       (TRIM(SUBSTITUTE(UPPER($D$2:$D24),CHAR(160),""))=TRIM(SUBSTITUTE(UPPER(D24),CHAR(160),"")))*
       (TRIM(SUBSTITUTE(UPPER($E$2:$E24),CHAR(160),""))=TRIM(SUBSTITUTE(UPPER(E24),CHAR(160),"")))
     )
  ),
  0
)</f>
        <v>0</v>
      </c>
      <c r="J24" s="8" cm="1">
        <f t="array" ref="J24">IFERROR(
  IF(D24&lt;&gt;"Catherine",
     0,
     SUMPRODUCT(
       (TRIM(SUBSTITUTE(UPPER($B$2:$B24),CHAR(160),""))=TRIM(SUBSTITUTE(UPPER(B24),CHAR(160),"")))*
       (TRIM(SUBSTITUTE(UPPER($C$2:$C24),CHAR(160),""))=TRIM(SUBSTITUTE(UPPER(C24),CHAR(160),"")))*
       (TRIM(SUBSTITUTE(UPPER($D$2:$D24),CHAR(160),""))=TRIM(SUBSTITUTE(UPPER(D24),CHAR(160),"")))*
       (TRIM(SUBSTITUTE(UPPER($E$2:$E24),CHAR(160),""))=TRIM(SUBSTITUTE(UPPER(E24),CHAR(160),"")))
     )
  ),
  0
)</f>
        <v>0</v>
      </c>
      <c r="K24" s="9">
        <f>IFERROR(
  IF(
    D24&lt;&gt;"Cédric",
    0,
    IF(
      C24="",
      IF(
        COUNTIFS($B$2:B24,B24,$E$2:E24,E24,$D$2:D24,D24)=1,
        INDEX([1]DB!$A:$A,MATCH($E24,[1]DB!$D:$D,0)),
        IF(
          COUNTIFS($B$2:B24,B24,$E$2:E24,E24,$D$2:D24,D24)=2,
          INDEX([1]DB!$B:$B,MATCH($E24,[1]DB!$D:$D,0)),
          INDEX([1]DB!$C:$C,MATCH($E24,[1]DB!$D:$D,0))
        )
      ),
      IF(
        COUNTIFS($C$2:C24,C24,$E$2:E24,E24,$D$2:D24,D24)=1,
        INDEX([1]DB!$A:$A,MATCH($E24,[1]DB!$D:$D,0)),
        IF(
          COUNTIFS($C$2:C24,C24,$E$2:E24,E24,$D$2:D24,D24)=2,
          INDEX([1]DB!$B:$B,MATCH($E24,[1]DB!$D:$D,0)),
          INDEX([1]DB!$C:$C,MATCH($E24,[1]DB!$D:$D,0))
        )
      )
    )
  ),
  0
)</f>
        <v>75</v>
      </c>
      <c r="L24" s="9">
        <f>IFERROR(
  IF(
    D24&lt;&gt;"Geoffroy",
    0,
    IF(
      C24="",
      IF(
        COUNTIFS($B$2:B24,B24,$E$2:E24,E24,$D$2:D24,D24)=1,
        INDEX([1]DB!$A:$A,MATCH($E24,[1]DB!$D:$D,0)),
        IF(
          COUNTIFS($B$2:B24,B24,$E$2:E24,E24,$D$2:D24,D24)=2,
          INDEX([1]DB!$B:$B,MATCH($E24,[1]DB!$D:$D,0)),
          INDEX([1]DB!$C:$C,MATCH($E24,[1]DB!$D:$D,0))
        )
      ),
      IF(
        COUNTIFS($C$2:C24,C24,$E$2:E24,E24,$D$2:D24,D24)=1,
        INDEX([1]DB!$A:$A,MATCH($E24,[1]DB!$D:$D,0)),
        IF(
          COUNTIFS($C$2:C24,C24,$E$2:E24,E24,$D$2:D24,D24)=2,
          INDEX([1]DB!$B:$B,MATCH($E24,[1]DB!$D:$D,0)),
          INDEX([1]DB!$C:$C,MATCH($E24,[1]DB!$D:$D,0))
        )
      )
    )
  ),
  0
)</f>
        <v>0</v>
      </c>
      <c r="M24" s="9">
        <f>IFERROR(
  IF(
    D24&lt;&gt;"Tiphaine",
    0,
    IF(
      C24="",
      IF(
        COUNTIFS($B$2:B24,B24,$E$2:E24,E24,$D$2:D24,D24)=1,
        INDEX([1]DB!$A:$A,MATCH($E24,[1]DB!$D:$D,0)),
        IF(
          COUNTIFS($B$2:B24,B24,$E$2:E24,E24,$D$2:D24,D24)=2,
          INDEX([1]DB!$B:$B,MATCH($E24,[1]DB!$D:$D,0)),
          INDEX([1]DB!$C:$C,MATCH($E24,[1]DB!$D:$D,0))
        )
      ),
      IF(
        COUNTIFS($C$2:C24,C24,$E$2:E24,E24,$D$2:D24,D24)=1,
        INDEX([1]DB!$A:$A,MATCH($E24,[1]DB!$D:$D,0)),
        IF(
          COUNTIFS($C$2:C24,C24,$E$2:E24,E24,$D$2:D24,D24)=2,
          INDEX([1]DB!$B:$B,MATCH($E24,[1]DB!$D:$D,0)),
          INDEX([1]DB!$C:$C,MATCH($E24,[1]DB!$D:$D,0))
        )
      )
    )
  ),
  0
)</f>
        <v>0</v>
      </c>
      <c r="N24" s="9">
        <f>IFERROR(
  IF(
    D24&lt;&gt;"Catherine",
    0,
    IF(
      C24="",
      IF(
        COUNTIFS($B$2:B24,B24,$E$2:E24,E24,$D$2:D24,D24)=1,
        INDEX([1]DB!$A:$A,MATCH($E24,[1]DB!$D:$D,0)),
        IF(
          COUNTIFS($B$2:B24,B24,$E$2:E24,E24,$D$2:D24,D24)=2,
          INDEX([1]DB!$B:$B,MATCH($E24,[1]DB!$D:$D,0)),
          INDEX([1]DB!$C:$C,MATCH($E24,[1]DB!$D:$D,0))
        )
      ),
      IF(
        COUNTIFS($C$2:C24,C24,$E$2:E24,E24,$D$2:D24,D24)=1,
        INDEX([1]DB!$A:$A,MATCH($E24,[1]DB!$D:$D,0)),
        IF(
          COUNTIFS($C$2:C24,C24,$E$2:E24,E24,$D$2:D24,D24)=2,
          INDEX([1]DB!$B:$B,MATCH($E24,[1]DB!$D:$D,0)),
          INDEX([1]DB!$C:$C,MATCH($E24,[1]DB!$D:$D,0))
        )
      )
    )
  ),
  0
)</f>
        <v>0</v>
      </c>
      <c r="O24" s="5" t="str">
        <f>IF(DAY(A24)&lt;=15,UPPER(LEFT(TEXT(A24,"mmmm"),1))&amp;RIGHT(TEXT(A24,"mmmm"),LEN(TEXT(A24,"mmmm"))-1),UPPER(LEFT(TEXT(DATE(YEAR(A24),MONTH(A24)+1,1),"mmmm"),1))&amp;RIGHT(TEXT(DATE(YEAR(A24),MONTH(A24)+1,1),"mmmm"),LEN(TEXT(DATE(YEAR(A24),MONTH(A24)+1,1),"mmmm"))-1))</f>
        <v>Février</v>
      </c>
      <c r="P24" s="6" t="str">
        <f ca="1">IF(AND(A24&lt;=TODAY(),F24&lt;&gt;""),"OK","NON")</f>
        <v>OK</v>
      </c>
    </row>
    <row r="25" spans="1:16">
      <c r="A25" s="4">
        <v>46058</v>
      </c>
      <c r="B25" s="5" t="s">
        <v>58</v>
      </c>
      <c r="C25" s="5" t="s">
        <v>59</v>
      </c>
      <c r="D25" s="6" t="s">
        <v>14</v>
      </c>
      <c r="E25" s="6" t="s">
        <v>15</v>
      </c>
      <c r="F25" s="7">
        <v>6.29</v>
      </c>
      <c r="G25" s="8" cm="1">
        <f t="array" ref="G25">IFERROR(
  IF(D25&lt;&gt;"Cédric",
     0,
     SUMPRODUCT(
       (TRIM(SUBSTITUTE(UPPER($B$2:$B25),CHAR(160),""))=TRIM(SUBSTITUTE(UPPER(B25),CHAR(160),"")))*
       (TRIM(SUBSTITUTE(UPPER($C$2:$C25),CHAR(160),""))=TRIM(SUBSTITUTE(UPPER(C25),CHAR(160),"")))*
       (TRIM(SUBSTITUTE(UPPER($D$2:$D25),CHAR(160),""))=TRIM(SUBSTITUTE(UPPER(D25),CHAR(160),"")))*
       (TRIM(SUBSTITUTE(UPPER($E$2:$E25),CHAR(160),""))=TRIM(SUBSTITUTE(UPPER(E25),CHAR(160),"")))
     )
  ),
  0
)</f>
        <v>1</v>
      </c>
      <c r="H25" s="8" cm="1">
        <f t="array" ref="H25">IFERROR(
  IF(D25&lt;&gt;"Geoffroy",
     0,
     SUMPRODUCT(
       (TRIM(SUBSTITUTE(UPPER($B$2:$B25),CHAR(160),""))=TRIM(SUBSTITUTE(UPPER(B25),CHAR(160),"")))*
       (TRIM(SUBSTITUTE(UPPER($C$2:$C25),CHAR(160),""))=TRIM(SUBSTITUTE(UPPER(C25),CHAR(160),"")))*
       (TRIM(SUBSTITUTE(UPPER($D$2:$D25),CHAR(160),""))=TRIM(SUBSTITUTE(UPPER(D25),CHAR(160),"")))*
       (TRIM(SUBSTITUTE(UPPER($E$2:$E25),CHAR(160),""))=TRIM(SUBSTITUTE(UPPER(E25),CHAR(160),"")))
     )
  ),
  0
)</f>
        <v>0</v>
      </c>
      <c r="I25" s="8" cm="1">
        <f t="array" ref="I25">IFERROR(
  IF(D25&lt;&gt;"Tiphaine",
     0,
     SUMPRODUCT(
       (TRIM(SUBSTITUTE(UPPER($B$2:$B25),CHAR(160),""))=TRIM(SUBSTITUTE(UPPER(B25),CHAR(160),"")))*
       (TRIM(SUBSTITUTE(UPPER($C$2:$C25),CHAR(160),""))=TRIM(SUBSTITUTE(UPPER(C25),CHAR(160),"")))*
       (TRIM(SUBSTITUTE(UPPER($D$2:$D25),CHAR(160),""))=TRIM(SUBSTITUTE(UPPER(D25),CHAR(160),"")))*
       (TRIM(SUBSTITUTE(UPPER($E$2:$E25),CHAR(160),""))=TRIM(SUBSTITUTE(UPPER(E25),CHAR(160),"")))
     )
  ),
  0
)</f>
        <v>0</v>
      </c>
      <c r="J25" s="8" cm="1">
        <f t="array" ref="J25">IFERROR(
  IF(D25&lt;&gt;"Catherine",
     0,
     SUMPRODUCT(
       (TRIM(SUBSTITUTE(UPPER($B$2:$B25),CHAR(160),""))=TRIM(SUBSTITUTE(UPPER(B25),CHAR(160),"")))*
       (TRIM(SUBSTITUTE(UPPER($C$2:$C25),CHAR(160),""))=TRIM(SUBSTITUTE(UPPER(C25),CHAR(160),"")))*
       (TRIM(SUBSTITUTE(UPPER($D$2:$D25),CHAR(160),""))=TRIM(SUBSTITUTE(UPPER(D25),CHAR(160),"")))*
       (TRIM(SUBSTITUTE(UPPER($E$2:$E25),CHAR(160),""))=TRIM(SUBSTITUTE(UPPER(E25),CHAR(160),"")))
     )
  ),
  0
)</f>
        <v>0</v>
      </c>
      <c r="K25" s="9">
        <f>IFERROR(
  IF(
    D25&lt;&gt;"Cédric",
    0,
    IF(
      C25="",
      IF(
        COUNTIFS($B$2:B25,B25,$E$2:E25,E25,$D$2:D25,D25)=1,
        INDEX([1]DB!$A:$A,MATCH($E25,[1]DB!$D:$D,0)),
        IF(
          COUNTIFS($B$2:B25,B25,$E$2:E25,E25,$D$2:D25,D25)=2,
          INDEX([1]DB!$B:$B,MATCH($E25,[1]DB!$D:$D,0)),
          INDEX([1]DB!$C:$C,MATCH($E25,[1]DB!$D:$D,0))
        )
      ),
      IF(
        COUNTIFS($C$2:C25,C25,$E$2:E25,E25,$D$2:D25,D25)=1,
        INDEX([1]DB!$A:$A,MATCH($E25,[1]DB!$D:$D,0)),
        IF(
          COUNTIFS($C$2:C25,C25,$E$2:E25,E25,$D$2:D25,D25)=2,
          INDEX([1]DB!$B:$B,MATCH($E25,[1]DB!$D:$D,0)),
          INDEX([1]DB!$C:$C,MATCH($E25,[1]DB!$D:$D,0))
        )
      )
    )
  ),
  0
)</f>
        <v>75</v>
      </c>
      <c r="L25" s="9">
        <f>IFERROR(
  IF(
    D25&lt;&gt;"Geoffroy",
    0,
    IF(
      C25="",
      IF(
        COUNTIFS($B$2:B25,B25,$E$2:E25,E25,$D$2:D25,D25)=1,
        INDEX([1]DB!$A:$A,MATCH($E25,[1]DB!$D:$D,0)),
        IF(
          COUNTIFS($B$2:B25,B25,$E$2:E25,E25,$D$2:D25,D25)=2,
          INDEX([1]DB!$B:$B,MATCH($E25,[1]DB!$D:$D,0)),
          INDEX([1]DB!$C:$C,MATCH($E25,[1]DB!$D:$D,0))
        )
      ),
      IF(
        COUNTIFS($C$2:C25,C25,$E$2:E25,E25,$D$2:D25,D25)=1,
        INDEX([1]DB!$A:$A,MATCH($E25,[1]DB!$D:$D,0)),
        IF(
          COUNTIFS($C$2:C25,C25,$E$2:E25,E25,$D$2:D25,D25)=2,
          INDEX([1]DB!$B:$B,MATCH($E25,[1]DB!$D:$D,0)),
          INDEX([1]DB!$C:$C,MATCH($E25,[1]DB!$D:$D,0))
        )
      )
    )
  ),
  0
)</f>
        <v>0</v>
      </c>
      <c r="M25" s="9">
        <f>IFERROR(
  IF(
    D25&lt;&gt;"Tiphaine",
    0,
    IF(
      C25="",
      IF(
        COUNTIFS($B$2:B25,B25,$E$2:E25,E25,$D$2:D25,D25)=1,
        INDEX([1]DB!$A:$A,MATCH($E25,[1]DB!$D:$D,0)),
        IF(
          COUNTIFS($B$2:B25,B25,$E$2:E25,E25,$D$2:D25,D25)=2,
          INDEX([1]DB!$B:$B,MATCH($E25,[1]DB!$D:$D,0)),
          INDEX([1]DB!$C:$C,MATCH($E25,[1]DB!$D:$D,0))
        )
      ),
      IF(
        COUNTIFS($C$2:C25,C25,$E$2:E25,E25,$D$2:D25,D25)=1,
        INDEX([1]DB!$A:$A,MATCH($E25,[1]DB!$D:$D,0)),
        IF(
          COUNTIFS($C$2:C25,C25,$E$2:E25,E25,$D$2:D25,D25)=2,
          INDEX([1]DB!$B:$B,MATCH($E25,[1]DB!$D:$D,0)),
          INDEX([1]DB!$C:$C,MATCH($E25,[1]DB!$D:$D,0))
        )
      )
    )
  ),
  0
)</f>
        <v>0</v>
      </c>
      <c r="N25" s="9">
        <f>IFERROR(
  IF(
    D25&lt;&gt;"Catherine",
    0,
    IF(
      C25="",
      IF(
        COUNTIFS($B$2:B25,B25,$E$2:E25,E25,$D$2:D25,D25)=1,
        INDEX([1]DB!$A:$A,MATCH($E25,[1]DB!$D:$D,0)),
        IF(
          COUNTIFS($B$2:B25,B25,$E$2:E25,E25,$D$2:D25,D25)=2,
          INDEX([1]DB!$B:$B,MATCH($E25,[1]DB!$D:$D,0)),
          INDEX([1]DB!$C:$C,MATCH($E25,[1]DB!$D:$D,0))
        )
      ),
      IF(
        COUNTIFS($C$2:C25,C25,$E$2:E25,E25,$D$2:D25,D25)=1,
        INDEX([1]DB!$A:$A,MATCH($E25,[1]DB!$D:$D,0)),
        IF(
          COUNTIFS($C$2:C25,C25,$E$2:E25,E25,$D$2:D25,D25)=2,
          INDEX([1]DB!$B:$B,MATCH($E25,[1]DB!$D:$D,0)),
          INDEX([1]DB!$C:$C,MATCH($E25,[1]DB!$D:$D,0))
        )
      )
    )
  ),
  0
)</f>
        <v>0</v>
      </c>
      <c r="O25" s="5" t="str">
        <f>IF(DAY(A25)&lt;=15,UPPER(LEFT(TEXT(A25,"mmmm"),1))&amp;RIGHT(TEXT(A25,"mmmm"),LEN(TEXT(A25,"mmmm"))-1),UPPER(LEFT(TEXT(DATE(YEAR(A25),MONTH(A25)+1,1),"mmmm"),1))&amp;RIGHT(TEXT(DATE(YEAR(A25),MONTH(A25)+1,1),"mmmm"),LEN(TEXT(DATE(YEAR(A25),MONTH(A25)+1,1),"mmmm"))-1))</f>
        <v>Février</v>
      </c>
      <c r="P25" s="6" t="str">
        <f ca="1">IF(AND(A25&lt;=TODAY(),F25&lt;&gt;""),"OK","NON")</f>
        <v>OK</v>
      </c>
    </row>
    <row r="26" spans="1:16">
      <c r="A26" s="4">
        <v>46059</v>
      </c>
      <c r="B26" s="5" t="s">
        <v>60</v>
      </c>
      <c r="C26" s="5" t="s">
        <v>61</v>
      </c>
      <c r="D26" s="6" t="s">
        <v>14</v>
      </c>
      <c r="E26" s="6" t="s">
        <v>27</v>
      </c>
      <c r="F26" s="7">
        <v>8.52</v>
      </c>
      <c r="G26" s="8" cm="1">
        <f t="array" ref="G26">IFERROR(
  IF(D26&lt;&gt;"Cédric",
     0,
     SUMPRODUCT(
       (TRIM(SUBSTITUTE(UPPER($B$2:$B26),CHAR(160),""))=TRIM(SUBSTITUTE(UPPER(B26),CHAR(160),"")))*
       (TRIM(SUBSTITUTE(UPPER($C$2:$C26),CHAR(160),""))=TRIM(SUBSTITUTE(UPPER(C26),CHAR(160),"")))*
       (TRIM(SUBSTITUTE(UPPER($D$2:$D26),CHAR(160),""))=TRIM(SUBSTITUTE(UPPER(D26),CHAR(160),"")))*
       (TRIM(SUBSTITUTE(UPPER($E$2:$E26),CHAR(160),""))=TRIM(SUBSTITUTE(UPPER(E26),CHAR(160),"")))
     )
  ),
  0
)</f>
        <v>1</v>
      </c>
      <c r="H26" s="8" cm="1">
        <f t="array" ref="H26">IFERROR(
  IF(D26&lt;&gt;"Geoffroy",
     0,
     SUMPRODUCT(
       (TRIM(SUBSTITUTE(UPPER($B$2:$B26),CHAR(160),""))=TRIM(SUBSTITUTE(UPPER(B26),CHAR(160),"")))*
       (TRIM(SUBSTITUTE(UPPER($C$2:$C26),CHAR(160),""))=TRIM(SUBSTITUTE(UPPER(C26),CHAR(160),"")))*
       (TRIM(SUBSTITUTE(UPPER($D$2:$D26),CHAR(160),""))=TRIM(SUBSTITUTE(UPPER(D26),CHAR(160),"")))*
       (TRIM(SUBSTITUTE(UPPER($E$2:$E26),CHAR(160),""))=TRIM(SUBSTITUTE(UPPER(E26),CHAR(160),"")))
     )
  ),
  0
)</f>
        <v>0</v>
      </c>
      <c r="I26" s="8" cm="1">
        <f t="array" ref="I26">IFERROR(
  IF(D26&lt;&gt;"Tiphaine",
     0,
     SUMPRODUCT(
       (TRIM(SUBSTITUTE(UPPER($B$2:$B26),CHAR(160),""))=TRIM(SUBSTITUTE(UPPER(B26),CHAR(160),"")))*
       (TRIM(SUBSTITUTE(UPPER($C$2:$C26),CHAR(160),""))=TRIM(SUBSTITUTE(UPPER(C26),CHAR(160),"")))*
       (TRIM(SUBSTITUTE(UPPER($D$2:$D26),CHAR(160),""))=TRIM(SUBSTITUTE(UPPER(D26),CHAR(160),"")))*
       (TRIM(SUBSTITUTE(UPPER($E$2:$E26),CHAR(160),""))=TRIM(SUBSTITUTE(UPPER(E26),CHAR(160),"")))
     )
  ),
  0
)</f>
        <v>0</v>
      </c>
      <c r="J26" s="8" cm="1">
        <f t="array" ref="J26">IFERROR(
  IF(D26&lt;&gt;"Catherine",
     0,
     SUMPRODUCT(
       (TRIM(SUBSTITUTE(UPPER($B$2:$B26),CHAR(160),""))=TRIM(SUBSTITUTE(UPPER(B26),CHAR(160),"")))*
       (TRIM(SUBSTITUTE(UPPER($C$2:$C26),CHAR(160),""))=TRIM(SUBSTITUTE(UPPER(C26),CHAR(160),"")))*
       (TRIM(SUBSTITUTE(UPPER($D$2:$D26),CHAR(160),""))=TRIM(SUBSTITUTE(UPPER(D26),CHAR(160),"")))*
       (TRIM(SUBSTITUTE(UPPER($E$2:$E26),CHAR(160),""))=TRIM(SUBSTITUTE(UPPER(E26),CHAR(160),"")))
     )
  ),
  0
)</f>
        <v>0</v>
      </c>
      <c r="K26" s="9">
        <f>IFERROR(
  IF(
    D26&lt;&gt;"Cédric",
    0,
    IF(
      C26="",
      IF(
        COUNTIFS($B$2:B26,B26,$E$2:E26,E26,$D$2:D26,D26)=1,
        INDEX([1]DB!$A:$A,MATCH($E26,[1]DB!$D:$D,0)),
        IF(
          COUNTIFS($B$2:B26,B26,$E$2:E26,E26,$D$2:D26,D26)=2,
          INDEX([1]DB!$B:$B,MATCH($E26,[1]DB!$D:$D,0)),
          INDEX([1]DB!$C:$C,MATCH($E26,[1]DB!$D:$D,0))
        )
      ),
      IF(
        COUNTIFS($C$2:C26,C26,$E$2:E26,E26,$D$2:D26,D26)=1,
        INDEX([1]DB!$A:$A,MATCH($E26,[1]DB!$D:$D,0)),
        IF(
          COUNTIFS($C$2:C26,C26,$E$2:E26,E26,$D$2:D26,D26)=2,
          INDEX([1]DB!$B:$B,MATCH($E26,[1]DB!$D:$D,0)),
          INDEX([1]DB!$C:$C,MATCH($E26,[1]DB!$D:$D,0))
        )
      )
    )
  ),
  0
)</f>
        <v>75</v>
      </c>
      <c r="L26" s="9">
        <f>IFERROR(
  IF(
    D26&lt;&gt;"Geoffroy",
    0,
    IF(
      C26="",
      IF(
        COUNTIFS($B$2:B26,B26,$E$2:E26,E26,$D$2:D26,D26)=1,
        INDEX([1]DB!$A:$A,MATCH($E26,[1]DB!$D:$D,0)),
        IF(
          COUNTIFS($B$2:B26,B26,$E$2:E26,E26,$D$2:D26,D26)=2,
          INDEX([1]DB!$B:$B,MATCH($E26,[1]DB!$D:$D,0)),
          INDEX([1]DB!$C:$C,MATCH($E26,[1]DB!$D:$D,0))
        )
      ),
      IF(
        COUNTIFS($C$2:C26,C26,$E$2:E26,E26,$D$2:D26,D26)=1,
        INDEX([1]DB!$A:$A,MATCH($E26,[1]DB!$D:$D,0)),
        IF(
          COUNTIFS($C$2:C26,C26,$E$2:E26,E26,$D$2:D26,D26)=2,
          INDEX([1]DB!$B:$B,MATCH($E26,[1]DB!$D:$D,0)),
          INDEX([1]DB!$C:$C,MATCH($E26,[1]DB!$D:$D,0))
        )
      )
    )
  ),
  0
)</f>
        <v>0</v>
      </c>
      <c r="M26" s="9">
        <f>IFERROR(
  IF(
    D26&lt;&gt;"Tiphaine",
    0,
    IF(
      C26="",
      IF(
        COUNTIFS($B$2:B26,B26,$E$2:E26,E26,$D$2:D26,D26)=1,
        INDEX([1]DB!$A:$A,MATCH($E26,[1]DB!$D:$D,0)),
        IF(
          COUNTIFS($B$2:B26,B26,$E$2:E26,E26,$D$2:D26,D26)=2,
          INDEX([1]DB!$B:$B,MATCH($E26,[1]DB!$D:$D,0)),
          INDEX([1]DB!$C:$C,MATCH($E26,[1]DB!$D:$D,0))
        )
      ),
      IF(
        COUNTIFS($C$2:C26,C26,$E$2:E26,E26,$D$2:D26,D26)=1,
        INDEX([1]DB!$A:$A,MATCH($E26,[1]DB!$D:$D,0)),
        IF(
          COUNTIFS($C$2:C26,C26,$E$2:E26,E26,$D$2:D26,D26)=2,
          INDEX([1]DB!$B:$B,MATCH($E26,[1]DB!$D:$D,0)),
          INDEX([1]DB!$C:$C,MATCH($E26,[1]DB!$D:$D,0))
        )
      )
    )
  ),
  0
)</f>
        <v>0</v>
      </c>
      <c r="N26" s="9">
        <f>IFERROR(
  IF(
    D26&lt;&gt;"Catherine",
    0,
    IF(
      C26="",
      IF(
        COUNTIFS($B$2:B26,B26,$E$2:E26,E26,$D$2:D26,D26)=1,
        INDEX([1]DB!$A:$A,MATCH($E26,[1]DB!$D:$D,0)),
        IF(
          COUNTIFS($B$2:B26,B26,$E$2:E26,E26,$D$2:D26,D26)=2,
          INDEX([1]DB!$B:$B,MATCH($E26,[1]DB!$D:$D,0)),
          INDEX([1]DB!$C:$C,MATCH($E26,[1]DB!$D:$D,0))
        )
      ),
      IF(
        COUNTIFS($C$2:C26,C26,$E$2:E26,E26,$D$2:D26,D26)=1,
        INDEX([1]DB!$A:$A,MATCH($E26,[1]DB!$D:$D,0)),
        IF(
          COUNTIFS($C$2:C26,C26,$E$2:E26,E26,$D$2:D26,D26)=2,
          INDEX([1]DB!$B:$B,MATCH($E26,[1]DB!$D:$D,0)),
          INDEX([1]DB!$C:$C,MATCH($E26,[1]DB!$D:$D,0))
        )
      )
    )
  ),
  0
)</f>
        <v>0</v>
      </c>
      <c r="O26" s="5" t="str">
        <f>IF(DAY(A26)&lt;=15,UPPER(LEFT(TEXT(A26,"mmmm"),1))&amp;RIGHT(TEXT(A26,"mmmm"),LEN(TEXT(A26,"mmmm"))-1),UPPER(LEFT(TEXT(DATE(YEAR(A26),MONTH(A26)+1,1),"mmmm"),1))&amp;RIGHT(TEXT(DATE(YEAR(A26),MONTH(A26)+1,1),"mmmm"),LEN(TEXT(DATE(YEAR(A26),MONTH(A26)+1,1),"mmmm"))-1))</f>
        <v>Février</v>
      </c>
      <c r="P26" s="6" t="str">
        <f ca="1">IF(AND(A26&lt;=TODAY(),F26&lt;&gt;""),"OK","NON")</f>
        <v>OK</v>
      </c>
    </row>
    <row r="27" spans="1:16">
      <c r="A27" s="4">
        <v>46063</v>
      </c>
      <c r="B27" s="5" t="s">
        <v>62</v>
      </c>
      <c r="C27" s="5" t="s">
        <v>63</v>
      </c>
      <c r="D27" s="6" t="s">
        <v>14</v>
      </c>
      <c r="E27" s="6" t="s">
        <v>27</v>
      </c>
      <c r="F27" s="7">
        <v>6.42</v>
      </c>
      <c r="G27" s="8" cm="1">
        <f t="array" ref="G27">IFERROR(
  IF(D27&lt;&gt;"Cédric",
     0,
     SUMPRODUCT(
       (TRIM(SUBSTITUTE(UPPER($B$2:$B27),CHAR(160),""))=TRIM(SUBSTITUTE(UPPER(B27),CHAR(160),"")))*
       (TRIM(SUBSTITUTE(UPPER($C$2:$C27),CHAR(160),""))=TRIM(SUBSTITUTE(UPPER(C27),CHAR(160),"")))*
       (TRIM(SUBSTITUTE(UPPER($D$2:$D27),CHAR(160),""))=TRIM(SUBSTITUTE(UPPER(D27),CHAR(160),"")))*
       (TRIM(SUBSTITUTE(UPPER($E$2:$E27),CHAR(160),""))=TRIM(SUBSTITUTE(UPPER(E27),CHAR(160),"")))
     )
  ),
  0
)</f>
        <v>1</v>
      </c>
      <c r="H27" s="8" cm="1">
        <f t="array" ref="H27">IFERROR(
  IF(D27&lt;&gt;"Geoffroy",
     0,
     SUMPRODUCT(
       (TRIM(SUBSTITUTE(UPPER($B$2:$B27),CHAR(160),""))=TRIM(SUBSTITUTE(UPPER(B27),CHAR(160),"")))*
       (TRIM(SUBSTITUTE(UPPER($C$2:$C27),CHAR(160),""))=TRIM(SUBSTITUTE(UPPER(C27),CHAR(160),"")))*
       (TRIM(SUBSTITUTE(UPPER($D$2:$D27),CHAR(160),""))=TRIM(SUBSTITUTE(UPPER(D27),CHAR(160),"")))*
       (TRIM(SUBSTITUTE(UPPER($E$2:$E27),CHAR(160),""))=TRIM(SUBSTITUTE(UPPER(E27),CHAR(160),"")))
     )
  ),
  0
)</f>
        <v>0</v>
      </c>
      <c r="I27" s="8" cm="1">
        <f t="array" ref="I27">IFERROR(
  IF(D27&lt;&gt;"Tiphaine",
     0,
     SUMPRODUCT(
       (TRIM(SUBSTITUTE(UPPER($B$2:$B27),CHAR(160),""))=TRIM(SUBSTITUTE(UPPER(B27),CHAR(160),"")))*
       (TRIM(SUBSTITUTE(UPPER($C$2:$C27),CHAR(160),""))=TRIM(SUBSTITUTE(UPPER(C27),CHAR(160),"")))*
       (TRIM(SUBSTITUTE(UPPER($D$2:$D27),CHAR(160),""))=TRIM(SUBSTITUTE(UPPER(D27),CHAR(160),"")))*
       (TRIM(SUBSTITUTE(UPPER($E$2:$E27),CHAR(160),""))=TRIM(SUBSTITUTE(UPPER(E27),CHAR(160),"")))
     )
  ),
  0
)</f>
        <v>0</v>
      </c>
      <c r="J27" s="8" cm="1">
        <f t="array" ref="J27">IFERROR(
  IF(D27&lt;&gt;"Catherine",
     0,
     SUMPRODUCT(
       (TRIM(SUBSTITUTE(UPPER($B$2:$B27),CHAR(160),""))=TRIM(SUBSTITUTE(UPPER(B27),CHAR(160),"")))*
       (TRIM(SUBSTITUTE(UPPER($C$2:$C27),CHAR(160),""))=TRIM(SUBSTITUTE(UPPER(C27),CHAR(160),"")))*
       (TRIM(SUBSTITUTE(UPPER($D$2:$D27),CHAR(160),""))=TRIM(SUBSTITUTE(UPPER(D27),CHAR(160),"")))*
       (TRIM(SUBSTITUTE(UPPER($E$2:$E27),CHAR(160),""))=TRIM(SUBSTITUTE(UPPER(E27),CHAR(160),"")))
     )
  ),
  0
)</f>
        <v>0</v>
      </c>
      <c r="K27" s="9">
        <f>IFERROR(
  IF(
    D27&lt;&gt;"Cédric",
    0,
    IF(
      C27="",
      IF(
        COUNTIFS($B$2:B27,B27,$E$2:E27,E27,$D$2:D27,D27)=1,
        INDEX([1]DB!$A:$A,MATCH($E27,[1]DB!$D:$D,0)),
        IF(
          COUNTIFS($B$2:B27,B27,$E$2:E27,E27,$D$2:D27,D27)=2,
          INDEX([1]DB!$B:$B,MATCH($E27,[1]DB!$D:$D,0)),
          INDEX([1]DB!$C:$C,MATCH($E27,[1]DB!$D:$D,0))
        )
      ),
      IF(
        COUNTIFS($C$2:C27,C27,$E$2:E27,E27,$D$2:D27,D27)=1,
        INDEX([1]DB!$A:$A,MATCH($E27,[1]DB!$D:$D,0)),
        IF(
          COUNTIFS($C$2:C27,C27,$E$2:E27,E27,$D$2:D27,D27)=2,
          INDEX([1]DB!$B:$B,MATCH($E27,[1]DB!$D:$D,0)),
          INDEX([1]DB!$C:$C,MATCH($E27,[1]DB!$D:$D,0))
        )
      )
    )
  ),
  0
)</f>
        <v>75</v>
      </c>
      <c r="L27" s="9">
        <f>IFERROR(
  IF(
    D27&lt;&gt;"Geoffroy",
    0,
    IF(
      C27="",
      IF(
        COUNTIFS($B$2:B27,B27,$E$2:E27,E27,$D$2:D27,D27)=1,
        INDEX([1]DB!$A:$A,MATCH($E27,[1]DB!$D:$D,0)),
        IF(
          COUNTIFS($B$2:B27,B27,$E$2:E27,E27,$D$2:D27,D27)=2,
          INDEX([1]DB!$B:$B,MATCH($E27,[1]DB!$D:$D,0)),
          INDEX([1]DB!$C:$C,MATCH($E27,[1]DB!$D:$D,0))
        )
      ),
      IF(
        COUNTIFS($C$2:C27,C27,$E$2:E27,E27,$D$2:D27,D27)=1,
        INDEX([1]DB!$A:$A,MATCH($E27,[1]DB!$D:$D,0)),
        IF(
          COUNTIFS($C$2:C27,C27,$E$2:E27,E27,$D$2:D27,D27)=2,
          INDEX([1]DB!$B:$B,MATCH($E27,[1]DB!$D:$D,0)),
          INDEX([1]DB!$C:$C,MATCH($E27,[1]DB!$D:$D,0))
        )
      )
    )
  ),
  0
)</f>
        <v>0</v>
      </c>
      <c r="M27" s="9">
        <f>IFERROR(
  IF(
    D27&lt;&gt;"Tiphaine",
    0,
    IF(
      C27="",
      IF(
        COUNTIFS($B$2:B27,B27,$E$2:E27,E27,$D$2:D27,D27)=1,
        INDEX([1]DB!$A:$A,MATCH($E27,[1]DB!$D:$D,0)),
        IF(
          COUNTIFS($B$2:B27,B27,$E$2:E27,E27,$D$2:D27,D27)=2,
          INDEX([1]DB!$B:$B,MATCH($E27,[1]DB!$D:$D,0)),
          INDEX([1]DB!$C:$C,MATCH($E27,[1]DB!$D:$D,0))
        )
      ),
      IF(
        COUNTIFS($C$2:C27,C27,$E$2:E27,E27,$D$2:D27,D27)=1,
        INDEX([1]DB!$A:$A,MATCH($E27,[1]DB!$D:$D,0)),
        IF(
          COUNTIFS($C$2:C27,C27,$E$2:E27,E27,$D$2:D27,D27)=2,
          INDEX([1]DB!$B:$B,MATCH($E27,[1]DB!$D:$D,0)),
          INDEX([1]DB!$C:$C,MATCH($E27,[1]DB!$D:$D,0))
        )
      )
    )
  ),
  0
)</f>
        <v>0</v>
      </c>
      <c r="N27" s="9">
        <f>IFERROR(
  IF(
    D27&lt;&gt;"Catherine",
    0,
    IF(
      C27="",
      IF(
        COUNTIFS($B$2:B27,B27,$E$2:E27,E27,$D$2:D27,D27)=1,
        INDEX([1]DB!$A:$A,MATCH($E27,[1]DB!$D:$D,0)),
        IF(
          COUNTIFS($B$2:B27,B27,$E$2:E27,E27,$D$2:D27,D27)=2,
          INDEX([1]DB!$B:$B,MATCH($E27,[1]DB!$D:$D,0)),
          INDEX([1]DB!$C:$C,MATCH($E27,[1]DB!$D:$D,0))
        )
      ),
      IF(
        COUNTIFS($C$2:C27,C27,$E$2:E27,E27,$D$2:D27,D27)=1,
        INDEX([1]DB!$A:$A,MATCH($E27,[1]DB!$D:$D,0)),
        IF(
          COUNTIFS($C$2:C27,C27,$E$2:E27,E27,$D$2:D27,D27)=2,
          INDEX([1]DB!$B:$B,MATCH($E27,[1]DB!$D:$D,0)),
          INDEX([1]DB!$C:$C,MATCH($E27,[1]DB!$D:$D,0))
        )
      )
    )
  ),
  0
)</f>
        <v>0</v>
      </c>
      <c r="O27" s="5" t="str">
        <f>IF(DAY(A27)&lt;=15,UPPER(LEFT(TEXT(A27,"mmmm"),1))&amp;RIGHT(TEXT(A27,"mmmm"),LEN(TEXT(A27,"mmmm"))-1),UPPER(LEFT(TEXT(DATE(YEAR(A27),MONTH(A27)+1,1),"mmmm"),1))&amp;RIGHT(TEXT(DATE(YEAR(A27),MONTH(A27)+1,1),"mmmm"),LEN(TEXT(DATE(YEAR(A27),MONTH(A27)+1,1),"mmmm"))-1))</f>
        <v>Février</v>
      </c>
      <c r="P27" s="6" t="str">
        <f ca="1">IF(AND(A27&lt;=TODAY(),F27&lt;&gt;""),"OK","NON")</f>
        <v>OK</v>
      </c>
    </row>
    <row r="28" spans="1:16">
      <c r="A28" s="4">
        <v>46064</v>
      </c>
      <c r="B28" s="5" t="s">
        <v>64</v>
      </c>
      <c r="C28" s="5" t="s">
        <v>65</v>
      </c>
      <c r="D28" s="6" t="s">
        <v>14</v>
      </c>
      <c r="E28" s="6" t="s">
        <v>18</v>
      </c>
      <c r="F28" s="7">
        <v>6.96</v>
      </c>
      <c r="G28" s="8" cm="1">
        <f t="array" ref="G28">IFERROR(
  IF(D28&lt;&gt;"Cédric",
     0,
     SUMPRODUCT(
       (TRIM(SUBSTITUTE(UPPER($B$2:$B28),CHAR(160),""))=TRIM(SUBSTITUTE(UPPER(B28),CHAR(160),"")))*
       (TRIM(SUBSTITUTE(UPPER($C$2:$C28),CHAR(160),""))=TRIM(SUBSTITUTE(UPPER(C28),CHAR(160),"")))*
       (TRIM(SUBSTITUTE(UPPER($D$2:$D28),CHAR(160),""))=TRIM(SUBSTITUTE(UPPER(D28),CHAR(160),"")))*
       (TRIM(SUBSTITUTE(UPPER($E$2:$E28),CHAR(160),""))=TRIM(SUBSTITUTE(UPPER(E28),CHAR(160),"")))
     )
  ),
  0
)</f>
        <v>1</v>
      </c>
      <c r="H28" s="8" cm="1">
        <f t="array" ref="H28">IFERROR(
  IF(D28&lt;&gt;"Geoffroy",
     0,
     SUMPRODUCT(
       (TRIM(SUBSTITUTE(UPPER($B$2:$B28),CHAR(160),""))=TRIM(SUBSTITUTE(UPPER(B28),CHAR(160),"")))*
       (TRIM(SUBSTITUTE(UPPER($C$2:$C28),CHAR(160),""))=TRIM(SUBSTITUTE(UPPER(C28),CHAR(160),"")))*
       (TRIM(SUBSTITUTE(UPPER($D$2:$D28),CHAR(160),""))=TRIM(SUBSTITUTE(UPPER(D28),CHAR(160),"")))*
       (TRIM(SUBSTITUTE(UPPER($E$2:$E28),CHAR(160),""))=TRIM(SUBSTITUTE(UPPER(E28),CHAR(160),"")))
     )
  ),
  0
)</f>
        <v>0</v>
      </c>
      <c r="I28" s="8" cm="1">
        <f t="array" ref="I28">IFERROR(
  IF(D28&lt;&gt;"Tiphaine",
     0,
     SUMPRODUCT(
       (TRIM(SUBSTITUTE(UPPER($B$2:$B28),CHAR(160),""))=TRIM(SUBSTITUTE(UPPER(B28),CHAR(160),"")))*
       (TRIM(SUBSTITUTE(UPPER($C$2:$C28),CHAR(160),""))=TRIM(SUBSTITUTE(UPPER(C28),CHAR(160),"")))*
       (TRIM(SUBSTITUTE(UPPER($D$2:$D28),CHAR(160),""))=TRIM(SUBSTITUTE(UPPER(D28),CHAR(160),"")))*
       (TRIM(SUBSTITUTE(UPPER($E$2:$E28),CHAR(160),""))=TRIM(SUBSTITUTE(UPPER(E28),CHAR(160),"")))
     )
  ),
  0
)</f>
        <v>0</v>
      </c>
      <c r="J28" s="8" cm="1">
        <f t="array" ref="J28">IFERROR(
  IF(D28&lt;&gt;"Catherine",
     0,
     SUMPRODUCT(
       (TRIM(SUBSTITUTE(UPPER($B$2:$B28),CHAR(160),""))=TRIM(SUBSTITUTE(UPPER(B28),CHAR(160),"")))*
       (TRIM(SUBSTITUTE(UPPER($C$2:$C28),CHAR(160),""))=TRIM(SUBSTITUTE(UPPER(C28),CHAR(160),"")))*
       (TRIM(SUBSTITUTE(UPPER($D$2:$D28),CHAR(160),""))=TRIM(SUBSTITUTE(UPPER(D28),CHAR(160),"")))*
       (TRIM(SUBSTITUTE(UPPER($E$2:$E28),CHAR(160),""))=TRIM(SUBSTITUTE(UPPER(E28),CHAR(160),"")))
     )
  ),
  0
)</f>
        <v>0</v>
      </c>
      <c r="K28" s="9">
        <f>IFERROR(
  IF(
    D28&lt;&gt;"Cédric",
    0,
    IF(
      C28="",
      IF(
        COUNTIFS($B$2:B28,B28,$E$2:E28,E28,$D$2:D28,D28)=1,
        INDEX([1]DB!$A:$A,MATCH($E28,[1]DB!$D:$D,0)),
        IF(
          COUNTIFS($B$2:B28,B28,$E$2:E28,E28,$D$2:D28,D28)=2,
          INDEX([1]DB!$B:$B,MATCH($E28,[1]DB!$D:$D,0)),
          INDEX([1]DB!$C:$C,MATCH($E28,[1]DB!$D:$D,0))
        )
      ),
      IF(
        COUNTIFS($C$2:C28,C28,$E$2:E28,E28,$D$2:D28,D28)=1,
        INDEX([1]DB!$A:$A,MATCH($E28,[1]DB!$D:$D,0)),
        IF(
          COUNTIFS($C$2:C28,C28,$E$2:E28,E28,$D$2:D28,D28)=2,
          INDEX([1]DB!$B:$B,MATCH($E28,[1]DB!$D:$D,0)),
          INDEX([1]DB!$C:$C,MATCH($E28,[1]DB!$D:$D,0))
        )
      )
    )
  ),
  0
)</f>
        <v>10</v>
      </c>
      <c r="L28" s="9">
        <f>IFERROR(
  IF(
    D28&lt;&gt;"Geoffroy",
    0,
    IF(
      C28="",
      IF(
        COUNTIFS($B$2:B28,B28,$E$2:E28,E28,$D$2:D28,D28)=1,
        INDEX([1]DB!$A:$A,MATCH($E28,[1]DB!$D:$D,0)),
        IF(
          COUNTIFS($B$2:B28,B28,$E$2:E28,E28,$D$2:D28,D28)=2,
          INDEX([1]DB!$B:$B,MATCH($E28,[1]DB!$D:$D,0)),
          INDEX([1]DB!$C:$C,MATCH($E28,[1]DB!$D:$D,0))
        )
      ),
      IF(
        COUNTIFS($C$2:C28,C28,$E$2:E28,E28,$D$2:D28,D28)=1,
        INDEX([1]DB!$A:$A,MATCH($E28,[1]DB!$D:$D,0)),
        IF(
          COUNTIFS($C$2:C28,C28,$E$2:E28,E28,$D$2:D28,D28)=2,
          INDEX([1]DB!$B:$B,MATCH($E28,[1]DB!$D:$D,0)),
          INDEX([1]DB!$C:$C,MATCH($E28,[1]DB!$D:$D,0))
        )
      )
    )
  ),
  0
)</f>
        <v>0</v>
      </c>
      <c r="M28" s="9">
        <f>IFERROR(
  IF(
    D28&lt;&gt;"Tiphaine",
    0,
    IF(
      C28="",
      IF(
        COUNTIFS($B$2:B28,B28,$E$2:E28,E28,$D$2:D28,D28)=1,
        INDEX([1]DB!$A:$A,MATCH($E28,[1]DB!$D:$D,0)),
        IF(
          COUNTIFS($B$2:B28,B28,$E$2:E28,E28,$D$2:D28,D28)=2,
          INDEX([1]DB!$B:$B,MATCH($E28,[1]DB!$D:$D,0)),
          INDEX([1]DB!$C:$C,MATCH($E28,[1]DB!$D:$D,0))
        )
      ),
      IF(
        COUNTIFS($C$2:C28,C28,$E$2:E28,E28,$D$2:D28,D28)=1,
        INDEX([1]DB!$A:$A,MATCH($E28,[1]DB!$D:$D,0)),
        IF(
          COUNTIFS($C$2:C28,C28,$E$2:E28,E28,$D$2:D28,D28)=2,
          INDEX([1]DB!$B:$B,MATCH($E28,[1]DB!$D:$D,0)),
          INDEX([1]DB!$C:$C,MATCH($E28,[1]DB!$D:$D,0))
        )
      )
    )
  ),
  0
)</f>
        <v>0</v>
      </c>
      <c r="N28" s="9">
        <f>IFERROR(
  IF(
    D28&lt;&gt;"Catherine",
    0,
    IF(
      C28="",
      IF(
        COUNTIFS($B$2:B28,B28,$E$2:E28,E28,$D$2:D28,D28)=1,
        INDEX([1]DB!$A:$A,MATCH($E28,[1]DB!$D:$D,0)),
        IF(
          COUNTIFS($B$2:B28,B28,$E$2:E28,E28,$D$2:D28,D28)=2,
          INDEX([1]DB!$B:$B,MATCH($E28,[1]DB!$D:$D,0)),
          INDEX([1]DB!$C:$C,MATCH($E28,[1]DB!$D:$D,0))
        )
      ),
      IF(
        COUNTIFS($C$2:C28,C28,$E$2:E28,E28,$D$2:D28,D28)=1,
        INDEX([1]DB!$A:$A,MATCH($E28,[1]DB!$D:$D,0)),
        IF(
          COUNTIFS($C$2:C28,C28,$E$2:E28,E28,$D$2:D28,D28)=2,
          INDEX([1]DB!$B:$B,MATCH($E28,[1]DB!$D:$D,0)),
          INDEX([1]DB!$C:$C,MATCH($E28,[1]DB!$D:$D,0))
        )
      )
    )
  ),
  0
)</f>
        <v>0</v>
      </c>
      <c r="O28" s="5" t="str">
        <f>IF(DAY(A28)&lt;=15,UPPER(LEFT(TEXT(A28,"mmmm"),1))&amp;RIGHT(TEXT(A28,"mmmm"),LEN(TEXT(A28,"mmmm"))-1),UPPER(LEFT(TEXT(DATE(YEAR(A28),MONTH(A28)+1,1),"mmmm"),1))&amp;RIGHT(TEXT(DATE(YEAR(A28),MONTH(A28)+1,1),"mmmm"),LEN(TEXT(DATE(YEAR(A28),MONTH(A28)+1,1),"mmmm"))-1))</f>
        <v>Février</v>
      </c>
      <c r="P28" s="6" t="str">
        <f ca="1">IF(AND(A28&lt;=TODAY(),F28&lt;&gt;""),"OK","NON")</f>
        <v>OK</v>
      </c>
    </row>
    <row r="29" spans="1:16">
      <c r="A29" s="4">
        <v>46064</v>
      </c>
      <c r="B29" s="5" t="s">
        <v>66</v>
      </c>
      <c r="C29" s="5" t="s">
        <v>67</v>
      </c>
      <c r="D29" s="6" t="s">
        <v>14</v>
      </c>
      <c r="E29" s="6" t="s">
        <v>21</v>
      </c>
      <c r="F29" s="7">
        <v>7.9</v>
      </c>
      <c r="G29" s="8" cm="1">
        <f t="array" ref="G29">IFERROR(
  IF(D29&lt;&gt;"Cédric",
     0,
     SUMPRODUCT(
       (TRIM(SUBSTITUTE(UPPER($B$2:$B29),CHAR(160),""))=TRIM(SUBSTITUTE(UPPER(B29),CHAR(160),"")))*
       (TRIM(SUBSTITUTE(UPPER($C$2:$C29),CHAR(160),""))=TRIM(SUBSTITUTE(UPPER(C29),CHAR(160),"")))*
       (TRIM(SUBSTITUTE(UPPER($D$2:$D29),CHAR(160),""))=TRIM(SUBSTITUTE(UPPER(D29),CHAR(160),"")))*
       (TRIM(SUBSTITUTE(UPPER($E$2:$E29),CHAR(160),""))=TRIM(SUBSTITUTE(UPPER(E29),CHAR(160),"")))
     )
  ),
  0
)</f>
        <v>1</v>
      </c>
      <c r="H29" s="8" cm="1">
        <f t="array" ref="H29">IFERROR(
  IF(D29&lt;&gt;"Geoffroy",
     0,
     SUMPRODUCT(
       (TRIM(SUBSTITUTE(UPPER($B$2:$B29),CHAR(160),""))=TRIM(SUBSTITUTE(UPPER(B29),CHAR(160),"")))*
       (TRIM(SUBSTITUTE(UPPER($C$2:$C29),CHAR(160),""))=TRIM(SUBSTITUTE(UPPER(C29),CHAR(160),"")))*
       (TRIM(SUBSTITUTE(UPPER($D$2:$D29),CHAR(160),""))=TRIM(SUBSTITUTE(UPPER(D29),CHAR(160),"")))*
       (TRIM(SUBSTITUTE(UPPER($E$2:$E29),CHAR(160),""))=TRIM(SUBSTITUTE(UPPER(E29),CHAR(160),"")))
     )
  ),
  0
)</f>
        <v>0</v>
      </c>
      <c r="I29" s="8" cm="1">
        <f t="array" ref="I29">IFERROR(
  IF(D29&lt;&gt;"Tiphaine",
     0,
     SUMPRODUCT(
       (TRIM(SUBSTITUTE(UPPER($B$2:$B29),CHAR(160),""))=TRIM(SUBSTITUTE(UPPER(B29),CHAR(160),"")))*
       (TRIM(SUBSTITUTE(UPPER($C$2:$C29),CHAR(160),""))=TRIM(SUBSTITUTE(UPPER(C29),CHAR(160),"")))*
       (TRIM(SUBSTITUTE(UPPER($D$2:$D29),CHAR(160),""))=TRIM(SUBSTITUTE(UPPER(D29),CHAR(160),"")))*
       (TRIM(SUBSTITUTE(UPPER($E$2:$E29),CHAR(160),""))=TRIM(SUBSTITUTE(UPPER(E29),CHAR(160),"")))
     )
  ),
  0
)</f>
        <v>0</v>
      </c>
      <c r="J29" s="8" cm="1">
        <f t="array" ref="J29">IFERROR(
  IF(D29&lt;&gt;"Catherine",
     0,
     SUMPRODUCT(
       (TRIM(SUBSTITUTE(UPPER($B$2:$B29),CHAR(160),""))=TRIM(SUBSTITUTE(UPPER(B29),CHAR(160),"")))*
       (TRIM(SUBSTITUTE(UPPER($C$2:$C29),CHAR(160),""))=TRIM(SUBSTITUTE(UPPER(C29),CHAR(160),"")))*
       (TRIM(SUBSTITUTE(UPPER($D$2:$D29),CHAR(160),""))=TRIM(SUBSTITUTE(UPPER(D29),CHAR(160),"")))*
       (TRIM(SUBSTITUTE(UPPER($E$2:$E29),CHAR(160),""))=TRIM(SUBSTITUTE(UPPER(E29),CHAR(160),"")))
     )
  ),
  0
)</f>
        <v>0</v>
      </c>
      <c r="K29" s="9">
        <f>IFERROR(
  IF(
    D29&lt;&gt;"Cédric",
    0,
    IF(
      C29="",
      IF(
        COUNTIFS($B$2:B29,B29,$E$2:E29,E29,$D$2:D29,D29)=1,
        INDEX([1]DB!$A:$A,MATCH($E29,[1]DB!$D:$D,0)),
        IF(
          COUNTIFS($B$2:B29,B29,$E$2:E29,E29,$D$2:D29,D29)=2,
          INDEX([1]DB!$B:$B,MATCH($E29,[1]DB!$D:$D,0)),
          INDEX([1]DB!$C:$C,MATCH($E29,[1]DB!$D:$D,0))
        )
      ),
      IF(
        COUNTIFS($C$2:C29,C29,$E$2:E29,E29,$D$2:D29,D29)=1,
        INDEX([1]DB!$A:$A,MATCH($E29,[1]DB!$D:$D,0)),
        IF(
          COUNTIFS($C$2:C29,C29,$E$2:E29,E29,$D$2:D29,D29)=2,
          INDEX([1]DB!$B:$B,MATCH($E29,[1]DB!$D:$D,0)),
          INDEX([1]DB!$C:$C,MATCH($E29,[1]DB!$D:$D,0))
        )
      )
    )
  ),
  0
)</f>
        <v>75</v>
      </c>
      <c r="L29" s="9">
        <f>IFERROR(
  IF(
    D29&lt;&gt;"Geoffroy",
    0,
    IF(
      C29="",
      IF(
        COUNTIFS($B$2:B29,B29,$E$2:E29,E29,$D$2:D29,D29)=1,
        INDEX([1]DB!$A:$A,MATCH($E29,[1]DB!$D:$D,0)),
        IF(
          COUNTIFS($B$2:B29,B29,$E$2:E29,E29,$D$2:D29,D29)=2,
          INDEX([1]DB!$B:$B,MATCH($E29,[1]DB!$D:$D,0)),
          INDEX([1]DB!$C:$C,MATCH($E29,[1]DB!$D:$D,0))
        )
      ),
      IF(
        COUNTIFS($C$2:C29,C29,$E$2:E29,E29,$D$2:D29,D29)=1,
        INDEX([1]DB!$A:$A,MATCH($E29,[1]DB!$D:$D,0)),
        IF(
          COUNTIFS($C$2:C29,C29,$E$2:E29,E29,$D$2:D29,D29)=2,
          INDEX([1]DB!$B:$B,MATCH($E29,[1]DB!$D:$D,0)),
          INDEX([1]DB!$C:$C,MATCH($E29,[1]DB!$D:$D,0))
        )
      )
    )
  ),
  0
)</f>
        <v>0</v>
      </c>
      <c r="M29" s="9">
        <f>IFERROR(
  IF(
    D29&lt;&gt;"Tiphaine",
    0,
    IF(
      C29="",
      IF(
        COUNTIFS($B$2:B29,B29,$E$2:E29,E29,$D$2:D29,D29)=1,
        INDEX([1]DB!$A:$A,MATCH($E29,[1]DB!$D:$D,0)),
        IF(
          COUNTIFS($B$2:B29,B29,$E$2:E29,E29,$D$2:D29,D29)=2,
          INDEX([1]DB!$B:$B,MATCH($E29,[1]DB!$D:$D,0)),
          INDEX([1]DB!$C:$C,MATCH($E29,[1]DB!$D:$D,0))
        )
      ),
      IF(
        COUNTIFS($C$2:C29,C29,$E$2:E29,E29,$D$2:D29,D29)=1,
        INDEX([1]DB!$A:$A,MATCH($E29,[1]DB!$D:$D,0)),
        IF(
          COUNTIFS($C$2:C29,C29,$E$2:E29,E29,$D$2:D29,D29)=2,
          INDEX([1]DB!$B:$B,MATCH($E29,[1]DB!$D:$D,0)),
          INDEX([1]DB!$C:$C,MATCH($E29,[1]DB!$D:$D,0))
        )
      )
    )
  ),
  0
)</f>
        <v>0</v>
      </c>
      <c r="N29" s="9">
        <f>IFERROR(
  IF(
    D29&lt;&gt;"Catherine",
    0,
    IF(
      C29="",
      IF(
        COUNTIFS($B$2:B29,B29,$E$2:E29,E29,$D$2:D29,D29)=1,
        INDEX([1]DB!$A:$A,MATCH($E29,[1]DB!$D:$D,0)),
        IF(
          COUNTIFS($B$2:B29,B29,$E$2:E29,E29,$D$2:D29,D29)=2,
          INDEX([1]DB!$B:$B,MATCH($E29,[1]DB!$D:$D,0)),
          INDEX([1]DB!$C:$C,MATCH($E29,[1]DB!$D:$D,0))
        )
      ),
      IF(
        COUNTIFS($C$2:C29,C29,$E$2:E29,E29,$D$2:D29,D29)=1,
        INDEX([1]DB!$A:$A,MATCH($E29,[1]DB!$D:$D,0)),
        IF(
          COUNTIFS($C$2:C29,C29,$E$2:E29,E29,$D$2:D29,D29)=2,
          INDEX([1]DB!$B:$B,MATCH($E29,[1]DB!$D:$D,0)),
          INDEX([1]DB!$C:$C,MATCH($E29,[1]DB!$D:$D,0))
        )
      )
    )
  ),
  0
)</f>
        <v>0</v>
      </c>
      <c r="O29" s="5" t="str">
        <f>IF(DAY(A29)&lt;=15,UPPER(LEFT(TEXT(A29,"mmmm"),1))&amp;RIGHT(TEXT(A29,"mmmm"),LEN(TEXT(A29,"mmmm"))-1),UPPER(LEFT(TEXT(DATE(YEAR(A29),MONTH(A29)+1,1),"mmmm"),1))&amp;RIGHT(TEXT(DATE(YEAR(A29),MONTH(A29)+1,1),"mmmm"),LEN(TEXT(DATE(YEAR(A29),MONTH(A29)+1,1),"mmmm"))-1))</f>
        <v>Février</v>
      </c>
      <c r="P29" s="6" t="str">
        <f ca="1">IF(AND(A29&lt;=TODAY(),F29&lt;&gt;""),"OK","NON")</f>
        <v>OK</v>
      </c>
    </row>
    <row r="30" spans="1:16">
      <c r="A30" s="4">
        <v>46065</v>
      </c>
      <c r="B30" s="5" t="s">
        <v>66</v>
      </c>
      <c r="C30" s="5" t="s">
        <v>68</v>
      </c>
      <c r="D30" s="6" t="s">
        <v>14</v>
      </c>
      <c r="E30" s="6" t="s">
        <v>27</v>
      </c>
      <c r="F30" s="7">
        <v>8.02</v>
      </c>
      <c r="G30" s="8" cm="1">
        <f t="array" ref="G30">IFERROR(
  IF(D30&lt;&gt;"Cédric",
     0,
     SUMPRODUCT(
       (TRIM(SUBSTITUTE(UPPER($B$2:$B30),CHAR(160),""))=TRIM(SUBSTITUTE(UPPER(B30),CHAR(160),"")))*
       (TRIM(SUBSTITUTE(UPPER($C$2:$C30),CHAR(160),""))=TRIM(SUBSTITUTE(UPPER(C30),CHAR(160),"")))*
       (TRIM(SUBSTITUTE(UPPER($D$2:$D30),CHAR(160),""))=TRIM(SUBSTITUTE(UPPER(D30),CHAR(160),"")))*
       (TRIM(SUBSTITUTE(UPPER($E$2:$E30),CHAR(160),""))=TRIM(SUBSTITUTE(UPPER(E30),CHAR(160),"")))
     )
  ),
  0
)</f>
        <v>1</v>
      </c>
      <c r="H30" s="8" cm="1">
        <f t="array" ref="H30">IFERROR(
  IF(D30&lt;&gt;"Geoffroy",
     0,
     SUMPRODUCT(
       (TRIM(SUBSTITUTE(UPPER($B$2:$B30),CHAR(160),""))=TRIM(SUBSTITUTE(UPPER(B30),CHAR(160),"")))*
       (TRIM(SUBSTITUTE(UPPER($C$2:$C30),CHAR(160),""))=TRIM(SUBSTITUTE(UPPER(C30),CHAR(160),"")))*
       (TRIM(SUBSTITUTE(UPPER($D$2:$D30),CHAR(160),""))=TRIM(SUBSTITUTE(UPPER(D30),CHAR(160),"")))*
       (TRIM(SUBSTITUTE(UPPER($E$2:$E30),CHAR(160),""))=TRIM(SUBSTITUTE(UPPER(E30),CHAR(160),"")))
     )
  ),
  0
)</f>
        <v>0</v>
      </c>
      <c r="I30" s="8" cm="1">
        <f t="array" ref="I30">IFERROR(
  IF(D30&lt;&gt;"Tiphaine",
     0,
     SUMPRODUCT(
       (TRIM(SUBSTITUTE(UPPER($B$2:$B30),CHAR(160),""))=TRIM(SUBSTITUTE(UPPER(B30),CHAR(160),"")))*
       (TRIM(SUBSTITUTE(UPPER($C$2:$C30),CHAR(160),""))=TRIM(SUBSTITUTE(UPPER(C30),CHAR(160),"")))*
       (TRIM(SUBSTITUTE(UPPER($D$2:$D30),CHAR(160),""))=TRIM(SUBSTITUTE(UPPER(D30),CHAR(160),"")))*
       (TRIM(SUBSTITUTE(UPPER($E$2:$E30),CHAR(160),""))=TRIM(SUBSTITUTE(UPPER(E30),CHAR(160),"")))
     )
  ),
  0
)</f>
        <v>0</v>
      </c>
      <c r="J30" s="8" cm="1">
        <f t="array" ref="J30">IFERROR(
  IF(D30&lt;&gt;"Catherine",
     0,
     SUMPRODUCT(
       (TRIM(SUBSTITUTE(UPPER($B$2:$B30),CHAR(160),""))=TRIM(SUBSTITUTE(UPPER(B30),CHAR(160),"")))*
       (TRIM(SUBSTITUTE(UPPER($C$2:$C30),CHAR(160),""))=TRIM(SUBSTITUTE(UPPER(C30),CHAR(160),"")))*
       (TRIM(SUBSTITUTE(UPPER($D$2:$D30),CHAR(160),""))=TRIM(SUBSTITUTE(UPPER(D30),CHAR(160),"")))*
       (TRIM(SUBSTITUTE(UPPER($E$2:$E30),CHAR(160),""))=TRIM(SUBSTITUTE(UPPER(E30),CHAR(160),"")))
     )
  ),
  0
)</f>
        <v>0</v>
      </c>
      <c r="K30" s="9">
        <f>IFERROR(
  IF(
    D30&lt;&gt;"Cédric",
    0,
    IF(
      C30="",
      IF(
        COUNTIFS($B$2:B30,B30,$E$2:E30,E30,$D$2:D30,D30)=1,
        INDEX([1]DB!$A:$A,MATCH($E30,[1]DB!$D:$D,0)),
        IF(
          COUNTIFS($B$2:B30,B30,$E$2:E30,E30,$D$2:D30,D30)=2,
          INDEX([1]DB!$B:$B,MATCH($E30,[1]DB!$D:$D,0)),
          INDEX([1]DB!$C:$C,MATCH($E30,[1]DB!$D:$D,0))
        )
      ),
      IF(
        COUNTIFS($C$2:C30,C30,$E$2:E30,E30,$D$2:D30,D30)=1,
        INDEX([1]DB!$A:$A,MATCH($E30,[1]DB!$D:$D,0)),
        IF(
          COUNTIFS($C$2:C30,C30,$E$2:E30,E30,$D$2:D30,D30)=2,
          INDEX([1]DB!$B:$B,MATCH($E30,[1]DB!$D:$D,0)),
          INDEX([1]DB!$C:$C,MATCH($E30,[1]DB!$D:$D,0))
        )
      )
    )
  ),
  0
)</f>
        <v>75</v>
      </c>
      <c r="L30" s="9">
        <f>IFERROR(
  IF(
    D30&lt;&gt;"Geoffroy",
    0,
    IF(
      C30="",
      IF(
        COUNTIFS($B$2:B30,B30,$E$2:E30,E30,$D$2:D30,D30)=1,
        INDEX([1]DB!$A:$A,MATCH($E30,[1]DB!$D:$D,0)),
        IF(
          COUNTIFS($B$2:B30,B30,$E$2:E30,E30,$D$2:D30,D30)=2,
          INDEX([1]DB!$B:$B,MATCH($E30,[1]DB!$D:$D,0)),
          INDEX([1]DB!$C:$C,MATCH($E30,[1]DB!$D:$D,0))
        )
      ),
      IF(
        COUNTIFS($C$2:C30,C30,$E$2:E30,E30,$D$2:D30,D30)=1,
        INDEX([1]DB!$A:$A,MATCH($E30,[1]DB!$D:$D,0)),
        IF(
          COUNTIFS($C$2:C30,C30,$E$2:E30,E30,$D$2:D30,D30)=2,
          INDEX([1]DB!$B:$B,MATCH($E30,[1]DB!$D:$D,0)),
          INDEX([1]DB!$C:$C,MATCH($E30,[1]DB!$D:$D,0))
        )
      )
    )
  ),
  0
)</f>
        <v>0</v>
      </c>
      <c r="M30" s="9">
        <f>IFERROR(
  IF(
    D30&lt;&gt;"Tiphaine",
    0,
    IF(
      C30="",
      IF(
        COUNTIFS($B$2:B30,B30,$E$2:E30,E30,$D$2:D30,D30)=1,
        INDEX([1]DB!$A:$A,MATCH($E30,[1]DB!$D:$D,0)),
        IF(
          COUNTIFS($B$2:B30,B30,$E$2:E30,E30,$D$2:D30,D30)=2,
          INDEX([1]DB!$B:$B,MATCH($E30,[1]DB!$D:$D,0)),
          INDEX([1]DB!$C:$C,MATCH($E30,[1]DB!$D:$D,0))
        )
      ),
      IF(
        COUNTIFS($C$2:C30,C30,$E$2:E30,E30,$D$2:D30,D30)=1,
        INDEX([1]DB!$A:$A,MATCH($E30,[1]DB!$D:$D,0)),
        IF(
          COUNTIFS($C$2:C30,C30,$E$2:E30,E30,$D$2:D30,D30)=2,
          INDEX([1]DB!$B:$B,MATCH($E30,[1]DB!$D:$D,0)),
          INDEX([1]DB!$C:$C,MATCH($E30,[1]DB!$D:$D,0))
        )
      )
    )
  ),
  0
)</f>
        <v>0</v>
      </c>
      <c r="N30" s="9">
        <f>IFERROR(
  IF(
    D30&lt;&gt;"Catherine",
    0,
    IF(
      C30="",
      IF(
        COUNTIFS($B$2:B30,B30,$E$2:E30,E30,$D$2:D30,D30)=1,
        INDEX([1]DB!$A:$A,MATCH($E30,[1]DB!$D:$D,0)),
        IF(
          COUNTIFS($B$2:B30,B30,$E$2:E30,E30,$D$2:D30,D30)=2,
          INDEX([1]DB!$B:$B,MATCH($E30,[1]DB!$D:$D,0)),
          INDEX([1]DB!$C:$C,MATCH($E30,[1]DB!$D:$D,0))
        )
      ),
      IF(
        COUNTIFS($C$2:C30,C30,$E$2:E30,E30,$D$2:D30,D30)=1,
        INDEX([1]DB!$A:$A,MATCH($E30,[1]DB!$D:$D,0)),
        IF(
          COUNTIFS($C$2:C30,C30,$E$2:E30,E30,$D$2:D30,D30)=2,
          INDEX([1]DB!$B:$B,MATCH($E30,[1]DB!$D:$D,0)),
          INDEX([1]DB!$C:$C,MATCH($E30,[1]DB!$D:$D,0))
        )
      )
    )
  ),
  0
)</f>
        <v>0</v>
      </c>
      <c r="O30" s="5" t="str">
        <f>IF(DAY(A30)&lt;=15,UPPER(LEFT(TEXT(A30,"mmmm"),1))&amp;RIGHT(TEXT(A30,"mmmm"),LEN(TEXT(A30,"mmmm"))-1),UPPER(LEFT(TEXT(DATE(YEAR(A30),MONTH(A30)+1,1),"mmmm"),1))&amp;RIGHT(TEXT(DATE(YEAR(A30),MONTH(A30)+1,1),"mmmm"),LEN(TEXT(DATE(YEAR(A30),MONTH(A30)+1,1),"mmmm"))-1))</f>
        <v>Février</v>
      </c>
      <c r="P30" s="6" t="str">
        <f ca="1">IF(AND(A30&lt;=TODAY(),F30&lt;&gt;""),"OK","NON")</f>
        <v>OK</v>
      </c>
    </row>
    <row r="31" spans="1:16">
      <c r="A31" s="4">
        <v>46065</v>
      </c>
      <c r="B31" s="5" t="s">
        <v>66</v>
      </c>
      <c r="C31" s="5" t="s">
        <v>69</v>
      </c>
      <c r="D31" s="6" t="s">
        <v>14</v>
      </c>
      <c r="E31" s="6" t="s">
        <v>15</v>
      </c>
      <c r="F31" s="7">
        <v>7.65</v>
      </c>
      <c r="G31" s="8" cm="1">
        <f t="array" ref="G31">IFERROR(
  IF(D31&lt;&gt;"Cédric",
     0,
     SUMPRODUCT(
       (TRIM(SUBSTITUTE(UPPER($B$2:$B31),CHAR(160),""))=TRIM(SUBSTITUTE(UPPER(B31),CHAR(160),"")))*
       (TRIM(SUBSTITUTE(UPPER($C$2:$C31),CHAR(160),""))=TRIM(SUBSTITUTE(UPPER(C31),CHAR(160),"")))*
       (TRIM(SUBSTITUTE(UPPER($D$2:$D31),CHAR(160),""))=TRIM(SUBSTITUTE(UPPER(D31),CHAR(160),"")))*
       (TRIM(SUBSTITUTE(UPPER($E$2:$E31),CHAR(160),""))=TRIM(SUBSTITUTE(UPPER(E31),CHAR(160),"")))
     )
  ),
  0
)</f>
        <v>1</v>
      </c>
      <c r="H31" s="8" cm="1">
        <f t="array" ref="H31">IFERROR(
  IF(D31&lt;&gt;"Geoffroy",
     0,
     SUMPRODUCT(
       (TRIM(SUBSTITUTE(UPPER($B$2:$B31),CHAR(160),""))=TRIM(SUBSTITUTE(UPPER(B31),CHAR(160),"")))*
       (TRIM(SUBSTITUTE(UPPER($C$2:$C31),CHAR(160),""))=TRIM(SUBSTITUTE(UPPER(C31),CHAR(160),"")))*
       (TRIM(SUBSTITUTE(UPPER($D$2:$D31),CHAR(160),""))=TRIM(SUBSTITUTE(UPPER(D31),CHAR(160),"")))*
       (TRIM(SUBSTITUTE(UPPER($E$2:$E31),CHAR(160),""))=TRIM(SUBSTITUTE(UPPER(E31),CHAR(160),"")))
     )
  ),
  0
)</f>
        <v>0</v>
      </c>
      <c r="I31" s="8" cm="1">
        <f t="array" ref="I31">IFERROR(
  IF(D31&lt;&gt;"Tiphaine",
     0,
     SUMPRODUCT(
       (TRIM(SUBSTITUTE(UPPER($B$2:$B31),CHAR(160),""))=TRIM(SUBSTITUTE(UPPER(B31),CHAR(160),"")))*
       (TRIM(SUBSTITUTE(UPPER($C$2:$C31),CHAR(160),""))=TRIM(SUBSTITUTE(UPPER(C31),CHAR(160),"")))*
       (TRIM(SUBSTITUTE(UPPER($D$2:$D31),CHAR(160),""))=TRIM(SUBSTITUTE(UPPER(D31),CHAR(160),"")))*
       (TRIM(SUBSTITUTE(UPPER($E$2:$E31),CHAR(160),""))=TRIM(SUBSTITUTE(UPPER(E31),CHAR(160),"")))
     )
  ),
  0
)</f>
        <v>0</v>
      </c>
      <c r="J31" s="8" cm="1">
        <f t="array" ref="J31">IFERROR(
  IF(D31&lt;&gt;"Catherine",
     0,
     SUMPRODUCT(
       (TRIM(SUBSTITUTE(UPPER($B$2:$B31),CHAR(160),""))=TRIM(SUBSTITUTE(UPPER(B31),CHAR(160),"")))*
       (TRIM(SUBSTITUTE(UPPER($C$2:$C31),CHAR(160),""))=TRIM(SUBSTITUTE(UPPER(C31),CHAR(160),"")))*
       (TRIM(SUBSTITUTE(UPPER($D$2:$D31),CHAR(160),""))=TRIM(SUBSTITUTE(UPPER(D31),CHAR(160),"")))*
       (TRIM(SUBSTITUTE(UPPER($E$2:$E31),CHAR(160),""))=TRIM(SUBSTITUTE(UPPER(E31),CHAR(160),"")))
     )
  ),
  0
)</f>
        <v>0</v>
      </c>
      <c r="K31" s="9">
        <f>IFERROR(
  IF(
    D31&lt;&gt;"Cédric",
    0,
    IF(
      C31="",
      IF(
        COUNTIFS($B$2:B31,B31,$E$2:E31,E31,$D$2:D31,D31)=1,
        INDEX([1]DB!$A:$A,MATCH($E31,[1]DB!$D:$D,0)),
        IF(
          COUNTIFS($B$2:B31,B31,$E$2:E31,E31,$D$2:D31,D31)=2,
          INDEX([1]DB!$B:$B,MATCH($E31,[1]DB!$D:$D,0)),
          INDEX([1]DB!$C:$C,MATCH($E31,[1]DB!$D:$D,0))
        )
      ),
      IF(
        COUNTIFS($C$2:C31,C31,$E$2:E31,E31,$D$2:D31,D31)=1,
        INDEX([1]DB!$A:$A,MATCH($E31,[1]DB!$D:$D,0)),
        IF(
          COUNTIFS($C$2:C31,C31,$E$2:E31,E31,$D$2:D31,D31)=2,
          INDEX([1]DB!$B:$B,MATCH($E31,[1]DB!$D:$D,0)),
          INDEX([1]DB!$C:$C,MATCH($E31,[1]DB!$D:$D,0))
        )
      )
    )
  ),
  0
)</f>
        <v>75</v>
      </c>
      <c r="L31" s="9">
        <f>IFERROR(
  IF(
    D31&lt;&gt;"Geoffroy",
    0,
    IF(
      C31="",
      IF(
        COUNTIFS($B$2:B31,B31,$E$2:E31,E31,$D$2:D31,D31)=1,
        INDEX([1]DB!$A:$A,MATCH($E31,[1]DB!$D:$D,0)),
        IF(
          COUNTIFS($B$2:B31,B31,$E$2:E31,E31,$D$2:D31,D31)=2,
          INDEX([1]DB!$B:$B,MATCH($E31,[1]DB!$D:$D,0)),
          INDEX([1]DB!$C:$C,MATCH($E31,[1]DB!$D:$D,0))
        )
      ),
      IF(
        COUNTIFS($C$2:C31,C31,$E$2:E31,E31,$D$2:D31,D31)=1,
        INDEX([1]DB!$A:$A,MATCH($E31,[1]DB!$D:$D,0)),
        IF(
          COUNTIFS($C$2:C31,C31,$E$2:E31,E31,$D$2:D31,D31)=2,
          INDEX([1]DB!$B:$B,MATCH($E31,[1]DB!$D:$D,0)),
          INDEX([1]DB!$C:$C,MATCH($E31,[1]DB!$D:$D,0))
        )
      )
    )
  ),
  0
)</f>
        <v>0</v>
      </c>
      <c r="M31" s="9">
        <f>IFERROR(
  IF(
    D31&lt;&gt;"Tiphaine",
    0,
    IF(
      C31="",
      IF(
        COUNTIFS($B$2:B31,B31,$E$2:E31,E31,$D$2:D31,D31)=1,
        INDEX([1]DB!$A:$A,MATCH($E31,[1]DB!$D:$D,0)),
        IF(
          COUNTIFS($B$2:B31,B31,$E$2:E31,E31,$D$2:D31,D31)=2,
          INDEX([1]DB!$B:$B,MATCH($E31,[1]DB!$D:$D,0)),
          INDEX([1]DB!$C:$C,MATCH($E31,[1]DB!$D:$D,0))
        )
      ),
      IF(
        COUNTIFS($C$2:C31,C31,$E$2:E31,E31,$D$2:D31,D31)=1,
        INDEX([1]DB!$A:$A,MATCH($E31,[1]DB!$D:$D,0)),
        IF(
          COUNTIFS($C$2:C31,C31,$E$2:E31,E31,$D$2:D31,D31)=2,
          INDEX([1]DB!$B:$B,MATCH($E31,[1]DB!$D:$D,0)),
          INDEX([1]DB!$C:$C,MATCH($E31,[1]DB!$D:$D,0))
        )
      )
    )
  ),
  0
)</f>
        <v>0</v>
      </c>
      <c r="N31" s="9">
        <f>IFERROR(
  IF(
    D31&lt;&gt;"Catherine",
    0,
    IF(
      C31="",
      IF(
        COUNTIFS($B$2:B31,B31,$E$2:E31,E31,$D$2:D31,D31)=1,
        INDEX([1]DB!$A:$A,MATCH($E31,[1]DB!$D:$D,0)),
        IF(
          COUNTIFS($B$2:B31,B31,$E$2:E31,E31,$D$2:D31,D31)=2,
          INDEX([1]DB!$B:$B,MATCH($E31,[1]DB!$D:$D,0)),
          INDEX([1]DB!$C:$C,MATCH($E31,[1]DB!$D:$D,0))
        )
      ),
      IF(
        COUNTIFS($C$2:C31,C31,$E$2:E31,E31,$D$2:D31,D31)=1,
        INDEX([1]DB!$A:$A,MATCH($E31,[1]DB!$D:$D,0)),
        IF(
          COUNTIFS($C$2:C31,C31,$E$2:E31,E31,$D$2:D31,D31)=2,
          INDEX([1]DB!$B:$B,MATCH($E31,[1]DB!$D:$D,0)),
          INDEX([1]DB!$C:$C,MATCH($E31,[1]DB!$D:$D,0))
        )
      )
    )
  ),
  0
)</f>
        <v>0</v>
      </c>
      <c r="O31" s="5" t="str">
        <f>IF(DAY(A31)&lt;=15,UPPER(LEFT(TEXT(A31,"mmmm"),1))&amp;RIGHT(TEXT(A31,"mmmm"),LEN(TEXT(A31,"mmmm"))-1),UPPER(LEFT(TEXT(DATE(YEAR(A31),MONTH(A31)+1,1),"mmmm"),1))&amp;RIGHT(TEXT(DATE(YEAR(A31),MONTH(A31)+1,1),"mmmm"),LEN(TEXT(DATE(YEAR(A31),MONTH(A31)+1,1),"mmmm"))-1))</f>
        <v>Février</v>
      </c>
      <c r="P31" s="6" t="str">
        <f ca="1">IF(AND(A31&lt;=TODAY(),F31&lt;&gt;""),"OK","NON")</f>
        <v>OK</v>
      </c>
    </row>
    <row r="32" spans="1:16">
      <c r="A32" s="4">
        <v>46069</v>
      </c>
      <c r="B32" s="5" t="s">
        <v>30</v>
      </c>
      <c r="C32" s="5" t="s">
        <v>70</v>
      </c>
      <c r="D32" s="6" t="s">
        <v>32</v>
      </c>
      <c r="E32" s="6" t="s">
        <v>27</v>
      </c>
      <c r="F32" s="7">
        <v>4.07</v>
      </c>
      <c r="G32" s="8" cm="1">
        <f t="array" ref="G32">IFERROR(
  IF(D32&lt;&gt;"Cédric",
     0,
     SUMPRODUCT(
       (TRIM(SUBSTITUTE(UPPER($B$2:$B32),CHAR(160),""))=TRIM(SUBSTITUTE(UPPER(B32),CHAR(160),"")))*
       (TRIM(SUBSTITUTE(UPPER($C$2:$C32),CHAR(160),""))=TRIM(SUBSTITUTE(UPPER(C32),CHAR(160),"")))*
       (TRIM(SUBSTITUTE(UPPER($D$2:$D32),CHAR(160),""))=TRIM(SUBSTITUTE(UPPER(D32),CHAR(160),"")))*
       (TRIM(SUBSTITUTE(UPPER($E$2:$E32),CHAR(160),""))=TRIM(SUBSTITUTE(UPPER(E32),CHAR(160),"")))
     )
  ),
  0
)</f>
        <v>0</v>
      </c>
      <c r="H32" s="8" cm="1">
        <f t="array" ref="H32">IFERROR(
  IF(D32&lt;&gt;"Geoffroy",
     0,
     SUMPRODUCT(
       (TRIM(SUBSTITUTE(UPPER($B$2:$B32),CHAR(160),""))=TRIM(SUBSTITUTE(UPPER(B32),CHAR(160),"")))*
       (TRIM(SUBSTITUTE(UPPER($C$2:$C32),CHAR(160),""))=TRIM(SUBSTITUTE(UPPER(C32),CHAR(160),"")))*
       (TRIM(SUBSTITUTE(UPPER($D$2:$D32),CHAR(160),""))=TRIM(SUBSTITUTE(UPPER(D32),CHAR(160),"")))*
       (TRIM(SUBSTITUTE(UPPER($E$2:$E32),CHAR(160),""))=TRIM(SUBSTITUTE(UPPER(E32),CHAR(160),"")))
     )
  ),
  0
)</f>
        <v>0</v>
      </c>
      <c r="I32" s="8" cm="1">
        <f t="array" ref="I32">IFERROR(
  IF(D32&lt;&gt;"Tiphaine",
     0,
     SUMPRODUCT(
       (TRIM(SUBSTITUTE(UPPER($B$2:$B32),CHAR(160),""))=TRIM(SUBSTITUTE(UPPER(B32),CHAR(160),"")))*
       (TRIM(SUBSTITUTE(UPPER($C$2:$C32),CHAR(160),""))=TRIM(SUBSTITUTE(UPPER(C32),CHAR(160),"")))*
       (TRIM(SUBSTITUTE(UPPER($D$2:$D32),CHAR(160),""))=TRIM(SUBSTITUTE(UPPER(D32),CHAR(160),"")))*
       (TRIM(SUBSTITUTE(UPPER($E$2:$E32),CHAR(160),""))=TRIM(SUBSTITUTE(UPPER(E32),CHAR(160),"")))
     )
  ),
  0
)</f>
        <v>0</v>
      </c>
      <c r="J32" s="8" cm="1">
        <f t="array" ref="J32">IFERROR(
  IF(D32&lt;&gt;"Catherine",
     0,
     SUMPRODUCT(
       (TRIM(SUBSTITUTE(UPPER($B$2:$B32),CHAR(160),""))=TRIM(SUBSTITUTE(UPPER(B32),CHAR(160),"")))*
       (TRIM(SUBSTITUTE(UPPER($C$2:$C32),CHAR(160),""))=TRIM(SUBSTITUTE(UPPER(C32),CHAR(160),"")))*
       (TRIM(SUBSTITUTE(UPPER($D$2:$D32),CHAR(160),""))=TRIM(SUBSTITUTE(UPPER(D32),CHAR(160),"")))*
       (TRIM(SUBSTITUTE(UPPER($E$2:$E32),CHAR(160),""))=TRIM(SUBSTITUTE(UPPER(E32),CHAR(160),"")))
     )
  ),
  0
)</f>
        <v>1</v>
      </c>
      <c r="K32" s="9">
        <f>IFERROR(
  IF(
    D32&lt;&gt;"Cédric",
    0,
    IF(
      C32="",
      IF(
        COUNTIFS($B$2:B32,B32,$E$2:E32,E32,$D$2:D32,D32)=1,
        INDEX([1]DB!$A:$A,MATCH($E32,[1]DB!$D:$D,0)),
        IF(
          COUNTIFS($B$2:B32,B32,$E$2:E32,E32,$D$2:D32,D32)=2,
          INDEX([1]DB!$B:$B,MATCH($E32,[1]DB!$D:$D,0)),
          INDEX([1]DB!$C:$C,MATCH($E32,[1]DB!$D:$D,0))
        )
      ),
      IF(
        COUNTIFS($C$2:C32,C32,$E$2:E32,E32,$D$2:D32,D32)=1,
        INDEX([1]DB!$A:$A,MATCH($E32,[1]DB!$D:$D,0)),
        IF(
          COUNTIFS($C$2:C32,C32,$E$2:E32,E32,$D$2:D32,D32)=2,
          INDEX([1]DB!$B:$B,MATCH($E32,[1]DB!$D:$D,0)),
          INDEX([1]DB!$C:$C,MATCH($E32,[1]DB!$D:$D,0))
        )
      )
    )
  ),
  0
)</f>
        <v>0</v>
      </c>
      <c r="L32" s="9">
        <f>IFERROR(
  IF(
    D32&lt;&gt;"Geoffroy",
    0,
    IF(
      C32="",
      IF(
        COUNTIFS($B$2:B32,B32,$E$2:E32,E32,$D$2:D32,D32)=1,
        INDEX([1]DB!$A:$A,MATCH($E32,[1]DB!$D:$D,0)),
        IF(
          COUNTIFS($B$2:B32,B32,$E$2:E32,E32,$D$2:D32,D32)=2,
          INDEX([1]DB!$B:$B,MATCH($E32,[1]DB!$D:$D,0)),
          INDEX([1]DB!$C:$C,MATCH($E32,[1]DB!$D:$D,0))
        )
      ),
      IF(
        COUNTIFS($C$2:C32,C32,$E$2:E32,E32,$D$2:D32,D32)=1,
        INDEX([1]DB!$A:$A,MATCH($E32,[1]DB!$D:$D,0)),
        IF(
          COUNTIFS($C$2:C32,C32,$E$2:E32,E32,$D$2:D32,D32)=2,
          INDEX([1]DB!$B:$B,MATCH($E32,[1]DB!$D:$D,0)),
          INDEX([1]DB!$C:$C,MATCH($E32,[1]DB!$D:$D,0))
        )
      )
    )
  ),
  0
)</f>
        <v>0</v>
      </c>
      <c r="M32" s="9">
        <f>IFERROR(
  IF(
    D32&lt;&gt;"Tiphaine",
    0,
    IF(
      C32="",
      IF(
        COUNTIFS($B$2:B32,B32,$E$2:E32,E32,$D$2:D32,D32)=1,
        INDEX([1]DB!$A:$A,MATCH($E32,[1]DB!$D:$D,0)),
        IF(
          COUNTIFS($B$2:B32,B32,$E$2:E32,E32,$D$2:D32,D32)=2,
          INDEX([1]DB!$B:$B,MATCH($E32,[1]DB!$D:$D,0)),
          INDEX([1]DB!$C:$C,MATCH($E32,[1]DB!$D:$D,0))
        )
      ),
      IF(
        COUNTIFS($C$2:C32,C32,$E$2:E32,E32,$D$2:D32,D32)=1,
        INDEX([1]DB!$A:$A,MATCH($E32,[1]DB!$D:$D,0)),
        IF(
          COUNTIFS($C$2:C32,C32,$E$2:E32,E32,$D$2:D32,D32)=2,
          INDEX([1]DB!$B:$B,MATCH($E32,[1]DB!$D:$D,0)),
          INDEX([1]DB!$C:$C,MATCH($E32,[1]DB!$D:$D,0))
        )
      )
    )
  ),
  0
)</f>
        <v>0</v>
      </c>
      <c r="N32" s="9">
        <f>IFERROR(
  IF(
    D32&lt;&gt;"Catherine",
    0,
    IF(
      C32="",
      IF(
        COUNTIFS($B$2:B32,B32,$E$2:E32,E32,$D$2:D32,D32)=1,
        INDEX([1]DB!$A:$A,MATCH($E32,[1]DB!$D:$D,0)),
        IF(
          COUNTIFS($B$2:B32,B32,$E$2:E32,E32,$D$2:D32,D32)=2,
          INDEX([1]DB!$B:$B,MATCH($E32,[1]DB!$D:$D,0)),
          INDEX([1]DB!$C:$C,MATCH($E32,[1]DB!$D:$D,0))
        )
      ),
      IF(
        COUNTIFS($C$2:C32,C32,$E$2:E32,E32,$D$2:D32,D32)=1,
        INDEX([1]DB!$A:$A,MATCH($E32,[1]DB!$D:$D,0)),
        IF(
          COUNTIFS($C$2:C32,C32,$E$2:E32,E32,$D$2:D32,D32)=2,
          INDEX([1]DB!$B:$B,MATCH($E32,[1]DB!$D:$D,0)),
          INDEX([1]DB!$C:$C,MATCH($E32,[1]DB!$D:$D,0))
        )
      )
    )
  ),
  0
)</f>
        <v>75</v>
      </c>
      <c r="O32" s="5" t="str">
        <f>IF(DAY(A32)&lt;=15,UPPER(LEFT(TEXT(A32,"mmmm"),1))&amp;RIGHT(TEXT(A32,"mmmm"),LEN(TEXT(A32,"mmmm"))-1),UPPER(LEFT(TEXT(DATE(YEAR(A32),MONTH(A32)+1,1),"mmmm"),1))&amp;RIGHT(TEXT(DATE(YEAR(A32),MONTH(A32)+1,1),"mmmm"),LEN(TEXT(DATE(YEAR(A32),MONTH(A32)+1,1),"mmmm"))-1))</f>
        <v>Mars</v>
      </c>
      <c r="P32" s="6" t="str">
        <f ca="1">IF(AND(A32&lt;=TODAY(),F32&lt;&gt;""),"OK","NON")</f>
        <v>OK</v>
      </c>
    </row>
    <row r="33" spans="1:16">
      <c r="A33" s="4">
        <v>46069</v>
      </c>
      <c r="B33" s="5" t="s">
        <v>71</v>
      </c>
      <c r="C33" s="5" t="s">
        <v>72</v>
      </c>
      <c r="D33" s="6" t="s">
        <v>14</v>
      </c>
      <c r="E33" s="6" t="s">
        <v>27</v>
      </c>
      <c r="F33" s="7">
        <v>6.91</v>
      </c>
      <c r="G33" s="8" cm="1">
        <f t="array" ref="G33">IFERROR(
  IF(D33&lt;&gt;"Cédric",
     0,
     SUMPRODUCT(
       (TRIM(SUBSTITUTE(UPPER($B$2:$B33),CHAR(160),""))=TRIM(SUBSTITUTE(UPPER(B33),CHAR(160),"")))*
       (TRIM(SUBSTITUTE(UPPER($C$2:$C33),CHAR(160),""))=TRIM(SUBSTITUTE(UPPER(C33),CHAR(160),"")))*
       (TRIM(SUBSTITUTE(UPPER($D$2:$D33),CHAR(160),""))=TRIM(SUBSTITUTE(UPPER(D33),CHAR(160),"")))*
       (TRIM(SUBSTITUTE(UPPER($E$2:$E33),CHAR(160),""))=TRIM(SUBSTITUTE(UPPER(E33),CHAR(160),"")))
     )
  ),
  0
)</f>
        <v>1</v>
      </c>
      <c r="H33" s="8" cm="1">
        <f t="array" ref="H33">IFERROR(
  IF(D33&lt;&gt;"Geoffroy",
     0,
     SUMPRODUCT(
       (TRIM(SUBSTITUTE(UPPER($B$2:$B33),CHAR(160),""))=TRIM(SUBSTITUTE(UPPER(B33),CHAR(160),"")))*
       (TRIM(SUBSTITUTE(UPPER($C$2:$C33),CHAR(160),""))=TRIM(SUBSTITUTE(UPPER(C33),CHAR(160),"")))*
       (TRIM(SUBSTITUTE(UPPER($D$2:$D33),CHAR(160),""))=TRIM(SUBSTITUTE(UPPER(D33),CHAR(160),"")))*
       (TRIM(SUBSTITUTE(UPPER($E$2:$E33),CHAR(160),""))=TRIM(SUBSTITUTE(UPPER(E33),CHAR(160),"")))
     )
  ),
  0
)</f>
        <v>0</v>
      </c>
      <c r="I33" s="8" cm="1">
        <f t="array" ref="I33">IFERROR(
  IF(D33&lt;&gt;"Tiphaine",
     0,
     SUMPRODUCT(
       (TRIM(SUBSTITUTE(UPPER($B$2:$B33),CHAR(160),""))=TRIM(SUBSTITUTE(UPPER(B33),CHAR(160),"")))*
       (TRIM(SUBSTITUTE(UPPER($C$2:$C33),CHAR(160),""))=TRIM(SUBSTITUTE(UPPER(C33),CHAR(160),"")))*
       (TRIM(SUBSTITUTE(UPPER($D$2:$D33),CHAR(160),""))=TRIM(SUBSTITUTE(UPPER(D33),CHAR(160),"")))*
       (TRIM(SUBSTITUTE(UPPER($E$2:$E33),CHAR(160),""))=TRIM(SUBSTITUTE(UPPER(E33),CHAR(160),"")))
     )
  ),
  0
)</f>
        <v>0</v>
      </c>
      <c r="J33" s="8" cm="1">
        <f t="array" ref="J33">IFERROR(
  IF(D33&lt;&gt;"Catherine",
     0,
     SUMPRODUCT(
       (TRIM(SUBSTITUTE(UPPER($B$2:$B33),CHAR(160),""))=TRIM(SUBSTITUTE(UPPER(B33),CHAR(160),"")))*
       (TRIM(SUBSTITUTE(UPPER($C$2:$C33),CHAR(160),""))=TRIM(SUBSTITUTE(UPPER(C33),CHAR(160),"")))*
       (TRIM(SUBSTITUTE(UPPER($D$2:$D33),CHAR(160),""))=TRIM(SUBSTITUTE(UPPER(D33),CHAR(160),"")))*
       (TRIM(SUBSTITUTE(UPPER($E$2:$E33),CHAR(160),""))=TRIM(SUBSTITUTE(UPPER(E33),CHAR(160),"")))
     )
  ),
  0
)</f>
        <v>0</v>
      </c>
      <c r="K33" s="9">
        <f>IFERROR(
  IF(
    D33&lt;&gt;"Cédric",
    0,
    IF(
      C33="",
      IF(
        COUNTIFS($B$2:B33,B33,$E$2:E33,E33,$D$2:D33,D33)=1,
        INDEX([1]DB!$A:$A,MATCH($E33,[1]DB!$D:$D,0)),
        IF(
          COUNTIFS($B$2:B33,B33,$E$2:E33,E33,$D$2:D33,D33)=2,
          INDEX([1]DB!$B:$B,MATCH($E33,[1]DB!$D:$D,0)),
          INDEX([1]DB!$C:$C,MATCH($E33,[1]DB!$D:$D,0))
        )
      ),
      IF(
        COUNTIFS($C$2:C33,C33,$E$2:E33,E33,$D$2:D33,D33)=1,
        INDEX([1]DB!$A:$A,MATCH($E33,[1]DB!$D:$D,0)),
        IF(
          COUNTIFS($C$2:C33,C33,$E$2:E33,E33,$D$2:D33,D33)=2,
          INDEX([1]DB!$B:$B,MATCH($E33,[1]DB!$D:$D,0)),
          INDEX([1]DB!$C:$C,MATCH($E33,[1]DB!$D:$D,0))
        )
      )
    )
  ),
  0
)</f>
        <v>75</v>
      </c>
      <c r="L33" s="9">
        <f>IFERROR(
  IF(
    D33&lt;&gt;"Geoffroy",
    0,
    IF(
      C33="",
      IF(
        COUNTIFS($B$2:B33,B33,$E$2:E33,E33,$D$2:D33,D33)=1,
        INDEX([1]DB!$A:$A,MATCH($E33,[1]DB!$D:$D,0)),
        IF(
          COUNTIFS($B$2:B33,B33,$E$2:E33,E33,$D$2:D33,D33)=2,
          INDEX([1]DB!$B:$B,MATCH($E33,[1]DB!$D:$D,0)),
          INDEX([1]DB!$C:$C,MATCH($E33,[1]DB!$D:$D,0))
        )
      ),
      IF(
        COUNTIFS($C$2:C33,C33,$E$2:E33,E33,$D$2:D33,D33)=1,
        INDEX([1]DB!$A:$A,MATCH($E33,[1]DB!$D:$D,0)),
        IF(
          COUNTIFS($C$2:C33,C33,$E$2:E33,E33,$D$2:D33,D33)=2,
          INDEX([1]DB!$B:$B,MATCH($E33,[1]DB!$D:$D,0)),
          INDEX([1]DB!$C:$C,MATCH($E33,[1]DB!$D:$D,0))
        )
      )
    )
  ),
  0
)</f>
        <v>0</v>
      </c>
      <c r="M33" s="9">
        <f>IFERROR(
  IF(
    D33&lt;&gt;"Tiphaine",
    0,
    IF(
      C33="",
      IF(
        COUNTIFS($B$2:B33,B33,$E$2:E33,E33,$D$2:D33,D33)=1,
        INDEX([1]DB!$A:$A,MATCH($E33,[1]DB!$D:$D,0)),
        IF(
          COUNTIFS($B$2:B33,B33,$E$2:E33,E33,$D$2:D33,D33)=2,
          INDEX([1]DB!$B:$B,MATCH($E33,[1]DB!$D:$D,0)),
          INDEX([1]DB!$C:$C,MATCH($E33,[1]DB!$D:$D,0))
        )
      ),
      IF(
        COUNTIFS($C$2:C33,C33,$E$2:E33,E33,$D$2:D33,D33)=1,
        INDEX([1]DB!$A:$A,MATCH($E33,[1]DB!$D:$D,0)),
        IF(
          COUNTIFS($C$2:C33,C33,$E$2:E33,E33,$D$2:D33,D33)=2,
          INDEX([1]DB!$B:$B,MATCH($E33,[1]DB!$D:$D,0)),
          INDEX([1]DB!$C:$C,MATCH($E33,[1]DB!$D:$D,0))
        )
      )
    )
  ),
  0
)</f>
        <v>0</v>
      </c>
      <c r="N33" s="9">
        <f>IFERROR(
  IF(
    D33&lt;&gt;"Catherine",
    0,
    IF(
      C33="",
      IF(
        COUNTIFS($B$2:B33,B33,$E$2:E33,E33,$D$2:D33,D33)=1,
        INDEX([1]DB!$A:$A,MATCH($E33,[1]DB!$D:$D,0)),
        IF(
          COUNTIFS($B$2:B33,B33,$E$2:E33,E33,$D$2:D33,D33)=2,
          INDEX([1]DB!$B:$B,MATCH($E33,[1]DB!$D:$D,0)),
          INDEX([1]DB!$C:$C,MATCH($E33,[1]DB!$D:$D,0))
        )
      ),
      IF(
        COUNTIFS($C$2:C33,C33,$E$2:E33,E33,$D$2:D33,D33)=1,
        INDEX([1]DB!$A:$A,MATCH($E33,[1]DB!$D:$D,0)),
        IF(
          COUNTIFS($C$2:C33,C33,$E$2:E33,E33,$D$2:D33,D33)=2,
          INDEX([1]DB!$B:$B,MATCH($E33,[1]DB!$D:$D,0)),
          INDEX([1]DB!$C:$C,MATCH($E33,[1]DB!$D:$D,0))
        )
      )
    )
  ),
  0
)</f>
        <v>0</v>
      </c>
      <c r="O33" s="5" t="str">
        <f>IF(DAY(A33)&lt;=15,UPPER(LEFT(TEXT(A33,"mmmm"),1))&amp;RIGHT(TEXT(A33,"mmmm"),LEN(TEXT(A33,"mmmm"))-1),UPPER(LEFT(TEXT(DATE(YEAR(A33),MONTH(A33)+1,1),"mmmm"),1))&amp;RIGHT(TEXT(DATE(YEAR(A33),MONTH(A33)+1,1),"mmmm"),LEN(TEXT(DATE(YEAR(A33),MONTH(A33)+1,1),"mmmm"))-1))</f>
        <v>Mars</v>
      </c>
      <c r="P33" s="6" t="str">
        <f ca="1">IF(AND(A33&lt;=TODAY(),F33&lt;&gt;""),"OK","NON")</f>
        <v>OK</v>
      </c>
    </row>
    <row r="34" spans="1:16">
      <c r="A34" s="4">
        <v>46069</v>
      </c>
      <c r="B34" s="5" t="s">
        <v>73</v>
      </c>
      <c r="C34" s="5" t="s">
        <v>74</v>
      </c>
      <c r="D34" s="6" t="s">
        <v>14</v>
      </c>
      <c r="E34" s="6" t="s">
        <v>27</v>
      </c>
      <c r="F34" s="7">
        <v>2.96</v>
      </c>
      <c r="G34" s="8" cm="1">
        <f t="array" ref="G34">IFERROR(
  IF(D34&lt;&gt;"Cédric",
     0,
     SUMPRODUCT(
       (TRIM(SUBSTITUTE(UPPER($B$2:$B34),CHAR(160),""))=TRIM(SUBSTITUTE(UPPER(B34),CHAR(160),"")))*
       (TRIM(SUBSTITUTE(UPPER($C$2:$C34),CHAR(160),""))=TRIM(SUBSTITUTE(UPPER(C34),CHAR(160),"")))*
       (TRIM(SUBSTITUTE(UPPER($D$2:$D34),CHAR(160),""))=TRIM(SUBSTITUTE(UPPER(D34),CHAR(160),"")))*
       (TRIM(SUBSTITUTE(UPPER($E$2:$E34),CHAR(160),""))=TRIM(SUBSTITUTE(UPPER(E34),CHAR(160),"")))
     )
  ),
  0
)</f>
        <v>1</v>
      </c>
      <c r="H34" s="8" cm="1">
        <f t="array" ref="H34">IFERROR(
  IF(D34&lt;&gt;"Geoffroy",
     0,
     SUMPRODUCT(
       (TRIM(SUBSTITUTE(UPPER($B$2:$B34),CHAR(160),""))=TRIM(SUBSTITUTE(UPPER(B34),CHAR(160),"")))*
       (TRIM(SUBSTITUTE(UPPER($C$2:$C34),CHAR(160),""))=TRIM(SUBSTITUTE(UPPER(C34),CHAR(160),"")))*
       (TRIM(SUBSTITUTE(UPPER($D$2:$D34),CHAR(160),""))=TRIM(SUBSTITUTE(UPPER(D34),CHAR(160),"")))*
       (TRIM(SUBSTITUTE(UPPER($E$2:$E34),CHAR(160),""))=TRIM(SUBSTITUTE(UPPER(E34),CHAR(160),"")))
     )
  ),
  0
)</f>
        <v>0</v>
      </c>
      <c r="I34" s="8" cm="1">
        <f t="array" ref="I34">IFERROR(
  IF(D34&lt;&gt;"Tiphaine",
     0,
     SUMPRODUCT(
       (TRIM(SUBSTITUTE(UPPER($B$2:$B34),CHAR(160),""))=TRIM(SUBSTITUTE(UPPER(B34),CHAR(160),"")))*
       (TRIM(SUBSTITUTE(UPPER($C$2:$C34),CHAR(160),""))=TRIM(SUBSTITUTE(UPPER(C34),CHAR(160),"")))*
       (TRIM(SUBSTITUTE(UPPER($D$2:$D34),CHAR(160),""))=TRIM(SUBSTITUTE(UPPER(D34),CHAR(160),"")))*
       (TRIM(SUBSTITUTE(UPPER($E$2:$E34),CHAR(160),""))=TRIM(SUBSTITUTE(UPPER(E34),CHAR(160),"")))
     )
  ),
  0
)</f>
        <v>0</v>
      </c>
      <c r="J34" s="8" cm="1">
        <f t="array" ref="J34">IFERROR(
  IF(D34&lt;&gt;"Catherine",
     0,
     SUMPRODUCT(
       (TRIM(SUBSTITUTE(UPPER($B$2:$B34),CHAR(160),""))=TRIM(SUBSTITUTE(UPPER(B34),CHAR(160),"")))*
       (TRIM(SUBSTITUTE(UPPER($C$2:$C34),CHAR(160),""))=TRIM(SUBSTITUTE(UPPER(C34),CHAR(160),"")))*
       (TRIM(SUBSTITUTE(UPPER($D$2:$D34),CHAR(160),""))=TRIM(SUBSTITUTE(UPPER(D34),CHAR(160),"")))*
       (TRIM(SUBSTITUTE(UPPER($E$2:$E34),CHAR(160),""))=TRIM(SUBSTITUTE(UPPER(E34),CHAR(160),"")))
     )
  ),
  0
)</f>
        <v>0</v>
      </c>
      <c r="K34" s="9">
        <f>IFERROR(
  IF(
    D34&lt;&gt;"Cédric",
    0,
    IF(
      C34="",
      IF(
        COUNTIFS($B$2:B34,B34,$E$2:E34,E34,$D$2:D34,D34)=1,
        INDEX([1]DB!$A:$A,MATCH($E34,[1]DB!$D:$D,0)),
        IF(
          COUNTIFS($B$2:B34,B34,$E$2:E34,E34,$D$2:D34,D34)=2,
          INDEX([1]DB!$B:$B,MATCH($E34,[1]DB!$D:$D,0)),
          INDEX([1]DB!$C:$C,MATCH($E34,[1]DB!$D:$D,0))
        )
      ),
      IF(
        COUNTIFS($C$2:C34,C34,$E$2:E34,E34,$D$2:D34,D34)=1,
        INDEX([1]DB!$A:$A,MATCH($E34,[1]DB!$D:$D,0)),
        IF(
          COUNTIFS($C$2:C34,C34,$E$2:E34,E34,$D$2:D34,D34)=2,
          INDEX([1]DB!$B:$B,MATCH($E34,[1]DB!$D:$D,0)),
          INDEX([1]DB!$C:$C,MATCH($E34,[1]DB!$D:$D,0))
        )
      )
    )
  ),
  0
)</f>
        <v>75</v>
      </c>
      <c r="L34" s="9">
        <f>IFERROR(
  IF(
    D34&lt;&gt;"Geoffroy",
    0,
    IF(
      C34="",
      IF(
        COUNTIFS($B$2:B34,B34,$E$2:E34,E34,$D$2:D34,D34)=1,
        INDEX([1]DB!$A:$A,MATCH($E34,[1]DB!$D:$D,0)),
        IF(
          COUNTIFS($B$2:B34,B34,$E$2:E34,E34,$D$2:D34,D34)=2,
          INDEX([1]DB!$B:$B,MATCH($E34,[1]DB!$D:$D,0)),
          INDEX([1]DB!$C:$C,MATCH($E34,[1]DB!$D:$D,0))
        )
      ),
      IF(
        COUNTIFS($C$2:C34,C34,$E$2:E34,E34,$D$2:D34,D34)=1,
        INDEX([1]DB!$A:$A,MATCH($E34,[1]DB!$D:$D,0)),
        IF(
          COUNTIFS($C$2:C34,C34,$E$2:E34,E34,$D$2:D34,D34)=2,
          INDEX([1]DB!$B:$B,MATCH($E34,[1]DB!$D:$D,0)),
          INDEX([1]DB!$C:$C,MATCH($E34,[1]DB!$D:$D,0))
        )
      )
    )
  ),
  0
)</f>
        <v>0</v>
      </c>
      <c r="M34" s="9">
        <f>IFERROR(
  IF(
    D34&lt;&gt;"Tiphaine",
    0,
    IF(
      C34="",
      IF(
        COUNTIFS($B$2:B34,B34,$E$2:E34,E34,$D$2:D34,D34)=1,
        INDEX([1]DB!$A:$A,MATCH($E34,[1]DB!$D:$D,0)),
        IF(
          COUNTIFS($B$2:B34,B34,$E$2:E34,E34,$D$2:D34,D34)=2,
          INDEX([1]DB!$B:$B,MATCH($E34,[1]DB!$D:$D,0)),
          INDEX([1]DB!$C:$C,MATCH($E34,[1]DB!$D:$D,0))
        )
      ),
      IF(
        COUNTIFS($C$2:C34,C34,$E$2:E34,E34,$D$2:D34,D34)=1,
        INDEX([1]DB!$A:$A,MATCH($E34,[1]DB!$D:$D,0)),
        IF(
          COUNTIFS($C$2:C34,C34,$E$2:E34,E34,$D$2:D34,D34)=2,
          INDEX([1]DB!$B:$B,MATCH($E34,[1]DB!$D:$D,0)),
          INDEX([1]DB!$C:$C,MATCH($E34,[1]DB!$D:$D,0))
        )
      )
    )
  ),
  0
)</f>
        <v>0</v>
      </c>
      <c r="N34" s="9">
        <f>IFERROR(
  IF(
    D34&lt;&gt;"Catherine",
    0,
    IF(
      C34="",
      IF(
        COUNTIFS($B$2:B34,B34,$E$2:E34,E34,$D$2:D34,D34)=1,
        INDEX([1]DB!$A:$A,MATCH($E34,[1]DB!$D:$D,0)),
        IF(
          COUNTIFS($B$2:B34,B34,$E$2:E34,E34,$D$2:D34,D34)=2,
          INDEX([1]DB!$B:$B,MATCH($E34,[1]DB!$D:$D,0)),
          INDEX([1]DB!$C:$C,MATCH($E34,[1]DB!$D:$D,0))
        )
      ),
      IF(
        COUNTIFS($C$2:C34,C34,$E$2:E34,E34,$D$2:D34,D34)=1,
        INDEX([1]DB!$A:$A,MATCH($E34,[1]DB!$D:$D,0)),
        IF(
          COUNTIFS($C$2:C34,C34,$E$2:E34,E34,$D$2:D34,D34)=2,
          INDEX([1]DB!$B:$B,MATCH($E34,[1]DB!$D:$D,0)),
          INDEX([1]DB!$C:$C,MATCH($E34,[1]DB!$D:$D,0))
        )
      )
    )
  ),
  0
)</f>
        <v>0</v>
      </c>
      <c r="O34" s="5" t="str">
        <f>IF(DAY(A34)&lt;=15,UPPER(LEFT(TEXT(A34,"mmmm"),1))&amp;RIGHT(TEXT(A34,"mmmm"),LEN(TEXT(A34,"mmmm"))-1),UPPER(LEFT(TEXT(DATE(YEAR(A34),MONTH(A34)+1,1),"mmmm"),1))&amp;RIGHT(TEXT(DATE(YEAR(A34),MONTH(A34)+1,1),"mmmm"),LEN(TEXT(DATE(YEAR(A34),MONTH(A34)+1,1),"mmmm"))-1))</f>
        <v>Mars</v>
      </c>
      <c r="P34" s="6" t="str">
        <f ca="1">IF(AND(A34&lt;=TODAY(),F34&lt;&gt;""),"OK","NON")</f>
        <v>OK</v>
      </c>
    </row>
    <row r="35" spans="1:16">
      <c r="A35" s="4">
        <v>46070</v>
      </c>
      <c r="B35" s="5" t="s">
        <v>73</v>
      </c>
      <c r="C35" s="5" t="s">
        <v>75</v>
      </c>
      <c r="D35" s="6" t="s">
        <v>14</v>
      </c>
      <c r="E35" s="6" t="s">
        <v>27</v>
      </c>
      <c r="F35" s="7">
        <v>5.31</v>
      </c>
      <c r="G35" s="8" cm="1">
        <f t="array" ref="G35">IFERROR(
  IF(D35&lt;&gt;"Cédric",
     0,
     SUMPRODUCT(
       (TRIM(SUBSTITUTE(UPPER($B$2:$B35),CHAR(160),""))=TRIM(SUBSTITUTE(UPPER(B35),CHAR(160),"")))*
       (TRIM(SUBSTITUTE(UPPER($C$2:$C35),CHAR(160),""))=TRIM(SUBSTITUTE(UPPER(C35),CHAR(160),"")))*
       (TRIM(SUBSTITUTE(UPPER($D$2:$D35),CHAR(160),""))=TRIM(SUBSTITUTE(UPPER(D35),CHAR(160),"")))*
       (TRIM(SUBSTITUTE(UPPER($E$2:$E35),CHAR(160),""))=TRIM(SUBSTITUTE(UPPER(E35),CHAR(160),"")))
     )
  ),
  0
)</f>
        <v>1</v>
      </c>
      <c r="H35" s="8" cm="1">
        <f t="array" ref="H35">IFERROR(
  IF(D35&lt;&gt;"Geoffroy",
     0,
     SUMPRODUCT(
       (TRIM(SUBSTITUTE(UPPER($B$2:$B35),CHAR(160),""))=TRIM(SUBSTITUTE(UPPER(B35),CHAR(160),"")))*
       (TRIM(SUBSTITUTE(UPPER($C$2:$C35),CHAR(160),""))=TRIM(SUBSTITUTE(UPPER(C35),CHAR(160),"")))*
       (TRIM(SUBSTITUTE(UPPER($D$2:$D35),CHAR(160),""))=TRIM(SUBSTITUTE(UPPER(D35),CHAR(160),"")))*
       (TRIM(SUBSTITUTE(UPPER($E$2:$E35),CHAR(160),""))=TRIM(SUBSTITUTE(UPPER(E35),CHAR(160),"")))
     )
  ),
  0
)</f>
        <v>0</v>
      </c>
      <c r="I35" s="8" cm="1">
        <f t="array" ref="I35">IFERROR(
  IF(D35&lt;&gt;"Tiphaine",
     0,
     SUMPRODUCT(
       (TRIM(SUBSTITUTE(UPPER($B$2:$B35),CHAR(160),""))=TRIM(SUBSTITUTE(UPPER(B35),CHAR(160),"")))*
       (TRIM(SUBSTITUTE(UPPER($C$2:$C35),CHAR(160),""))=TRIM(SUBSTITUTE(UPPER(C35),CHAR(160),"")))*
       (TRIM(SUBSTITUTE(UPPER($D$2:$D35),CHAR(160),""))=TRIM(SUBSTITUTE(UPPER(D35),CHAR(160),"")))*
       (TRIM(SUBSTITUTE(UPPER($E$2:$E35),CHAR(160),""))=TRIM(SUBSTITUTE(UPPER(E35),CHAR(160),"")))
     )
  ),
  0
)</f>
        <v>0</v>
      </c>
      <c r="J35" s="8" cm="1">
        <f t="array" ref="J35">IFERROR(
  IF(D35&lt;&gt;"Catherine",
     0,
     SUMPRODUCT(
       (TRIM(SUBSTITUTE(UPPER($B$2:$B35),CHAR(160),""))=TRIM(SUBSTITUTE(UPPER(B35),CHAR(160),"")))*
       (TRIM(SUBSTITUTE(UPPER($C$2:$C35),CHAR(160),""))=TRIM(SUBSTITUTE(UPPER(C35),CHAR(160),"")))*
       (TRIM(SUBSTITUTE(UPPER($D$2:$D35),CHAR(160),""))=TRIM(SUBSTITUTE(UPPER(D35),CHAR(160),"")))*
       (TRIM(SUBSTITUTE(UPPER($E$2:$E35),CHAR(160),""))=TRIM(SUBSTITUTE(UPPER(E35),CHAR(160),"")))
     )
  ),
  0
)</f>
        <v>0</v>
      </c>
      <c r="K35" s="9">
        <f>IFERROR(
  IF(
    D35&lt;&gt;"Cédric",
    0,
    IF(
      C35="",
      IF(
        COUNTIFS($B$2:B35,B35,$E$2:E35,E35,$D$2:D35,D35)=1,
        INDEX([1]DB!$A:$A,MATCH($E35,[1]DB!$D:$D,0)),
        IF(
          COUNTIFS($B$2:B35,B35,$E$2:E35,E35,$D$2:D35,D35)=2,
          INDEX([1]DB!$B:$B,MATCH($E35,[1]DB!$D:$D,0)),
          INDEX([1]DB!$C:$C,MATCH($E35,[1]DB!$D:$D,0))
        )
      ),
      IF(
        COUNTIFS($C$2:C35,C35,$E$2:E35,E35,$D$2:D35,D35)=1,
        INDEX([1]DB!$A:$A,MATCH($E35,[1]DB!$D:$D,0)),
        IF(
          COUNTIFS($C$2:C35,C35,$E$2:E35,E35,$D$2:D35,D35)=2,
          INDEX([1]DB!$B:$B,MATCH($E35,[1]DB!$D:$D,0)),
          INDEX([1]DB!$C:$C,MATCH($E35,[1]DB!$D:$D,0))
        )
      )
    )
  ),
  0
)</f>
        <v>75</v>
      </c>
      <c r="L35" s="9">
        <f>IFERROR(
  IF(
    D35&lt;&gt;"Geoffroy",
    0,
    IF(
      C35="",
      IF(
        COUNTIFS($B$2:B35,B35,$E$2:E35,E35,$D$2:D35,D35)=1,
        INDEX([1]DB!$A:$A,MATCH($E35,[1]DB!$D:$D,0)),
        IF(
          COUNTIFS($B$2:B35,B35,$E$2:E35,E35,$D$2:D35,D35)=2,
          INDEX([1]DB!$B:$B,MATCH($E35,[1]DB!$D:$D,0)),
          INDEX([1]DB!$C:$C,MATCH($E35,[1]DB!$D:$D,0))
        )
      ),
      IF(
        COUNTIFS($C$2:C35,C35,$E$2:E35,E35,$D$2:D35,D35)=1,
        INDEX([1]DB!$A:$A,MATCH($E35,[1]DB!$D:$D,0)),
        IF(
          COUNTIFS($C$2:C35,C35,$E$2:E35,E35,$D$2:D35,D35)=2,
          INDEX([1]DB!$B:$B,MATCH($E35,[1]DB!$D:$D,0)),
          INDEX([1]DB!$C:$C,MATCH($E35,[1]DB!$D:$D,0))
        )
      )
    )
  ),
  0
)</f>
        <v>0</v>
      </c>
      <c r="M35" s="9">
        <f>IFERROR(
  IF(
    D35&lt;&gt;"Tiphaine",
    0,
    IF(
      C35="",
      IF(
        COUNTIFS($B$2:B35,B35,$E$2:E35,E35,$D$2:D35,D35)=1,
        INDEX([1]DB!$A:$A,MATCH($E35,[1]DB!$D:$D,0)),
        IF(
          COUNTIFS($B$2:B35,B35,$E$2:E35,E35,$D$2:D35,D35)=2,
          INDEX([1]DB!$B:$B,MATCH($E35,[1]DB!$D:$D,0)),
          INDEX([1]DB!$C:$C,MATCH($E35,[1]DB!$D:$D,0))
        )
      ),
      IF(
        COUNTIFS($C$2:C35,C35,$E$2:E35,E35,$D$2:D35,D35)=1,
        INDEX([1]DB!$A:$A,MATCH($E35,[1]DB!$D:$D,0)),
        IF(
          COUNTIFS($C$2:C35,C35,$E$2:E35,E35,$D$2:D35,D35)=2,
          INDEX([1]DB!$B:$B,MATCH($E35,[1]DB!$D:$D,0)),
          INDEX([1]DB!$C:$C,MATCH($E35,[1]DB!$D:$D,0))
        )
      )
    )
  ),
  0
)</f>
        <v>0</v>
      </c>
      <c r="N35" s="9">
        <f>IFERROR(
  IF(
    D35&lt;&gt;"Catherine",
    0,
    IF(
      C35="",
      IF(
        COUNTIFS($B$2:B35,B35,$E$2:E35,E35,$D$2:D35,D35)=1,
        INDEX([1]DB!$A:$A,MATCH($E35,[1]DB!$D:$D,0)),
        IF(
          COUNTIFS($B$2:B35,B35,$E$2:E35,E35,$D$2:D35,D35)=2,
          INDEX([1]DB!$B:$B,MATCH($E35,[1]DB!$D:$D,0)),
          INDEX([1]DB!$C:$C,MATCH($E35,[1]DB!$D:$D,0))
        )
      ),
      IF(
        COUNTIFS($C$2:C35,C35,$E$2:E35,E35,$D$2:D35,D35)=1,
        INDEX([1]DB!$A:$A,MATCH($E35,[1]DB!$D:$D,0)),
        IF(
          COUNTIFS($C$2:C35,C35,$E$2:E35,E35,$D$2:D35,D35)=2,
          INDEX([1]DB!$B:$B,MATCH($E35,[1]DB!$D:$D,0)),
          INDEX([1]DB!$C:$C,MATCH($E35,[1]DB!$D:$D,0))
        )
      )
    )
  ),
  0
)</f>
        <v>0</v>
      </c>
      <c r="O35" s="5" t="str">
        <f>IF(DAY(A35)&lt;=15,UPPER(LEFT(TEXT(A35,"mmmm"),1))&amp;RIGHT(TEXT(A35,"mmmm"),LEN(TEXT(A35,"mmmm"))-1),UPPER(LEFT(TEXT(DATE(YEAR(A35),MONTH(A35)+1,1),"mmmm"),1))&amp;RIGHT(TEXT(DATE(YEAR(A35),MONTH(A35)+1,1),"mmmm"),LEN(TEXT(DATE(YEAR(A35),MONTH(A35)+1,1),"mmmm"))-1))</f>
        <v>Mars</v>
      </c>
      <c r="P35" s="6" t="str">
        <f ca="1">IF(AND(A35&lt;=TODAY(),F35&lt;&gt;""),"OK","NON")</f>
        <v>OK</v>
      </c>
    </row>
    <row r="36" spans="1:16">
      <c r="A36" s="4">
        <v>46070</v>
      </c>
      <c r="B36" s="5" t="s">
        <v>22</v>
      </c>
      <c r="C36" s="5" t="s">
        <v>23</v>
      </c>
      <c r="D36" s="6" t="s">
        <v>14</v>
      </c>
      <c r="E36" s="6" t="s">
        <v>27</v>
      </c>
      <c r="F36" s="7">
        <v>0</v>
      </c>
      <c r="G36" s="8" cm="1">
        <f t="array" ref="G36">IFERROR(
  IF(D36&lt;&gt;"Cédric",
     0,
     SUMPRODUCT(
       (TRIM(SUBSTITUTE(UPPER($B$2:$B36),CHAR(160),""))=TRIM(SUBSTITUTE(UPPER(B36),CHAR(160),"")))*
       (TRIM(SUBSTITUTE(UPPER($C$2:$C36),CHAR(160),""))=TRIM(SUBSTITUTE(UPPER(C36),CHAR(160),"")))*
       (TRIM(SUBSTITUTE(UPPER($D$2:$D36),CHAR(160),""))=TRIM(SUBSTITUTE(UPPER(D36),CHAR(160),"")))*
       (TRIM(SUBSTITUTE(UPPER($E$2:$E36),CHAR(160),""))=TRIM(SUBSTITUTE(UPPER(E36),CHAR(160),"")))
     )
  ),
  0
)</f>
        <v>1</v>
      </c>
      <c r="H36" s="8" cm="1">
        <f t="array" ref="H36">IFERROR(
  IF(D36&lt;&gt;"Geoffroy",
     0,
     SUMPRODUCT(
       (TRIM(SUBSTITUTE(UPPER($B$2:$B36),CHAR(160),""))=TRIM(SUBSTITUTE(UPPER(B36),CHAR(160),"")))*
       (TRIM(SUBSTITUTE(UPPER($C$2:$C36),CHAR(160),""))=TRIM(SUBSTITUTE(UPPER(C36),CHAR(160),"")))*
       (TRIM(SUBSTITUTE(UPPER($D$2:$D36),CHAR(160),""))=TRIM(SUBSTITUTE(UPPER(D36),CHAR(160),"")))*
       (TRIM(SUBSTITUTE(UPPER($E$2:$E36),CHAR(160),""))=TRIM(SUBSTITUTE(UPPER(E36),CHAR(160),"")))
     )
  ),
  0
)</f>
        <v>0</v>
      </c>
      <c r="I36" s="8" cm="1">
        <f t="array" ref="I36">IFERROR(
  IF(D36&lt;&gt;"Tiphaine",
     0,
     SUMPRODUCT(
       (TRIM(SUBSTITUTE(UPPER($B$2:$B36),CHAR(160),""))=TRIM(SUBSTITUTE(UPPER(B36),CHAR(160),"")))*
       (TRIM(SUBSTITUTE(UPPER($C$2:$C36),CHAR(160),""))=TRIM(SUBSTITUTE(UPPER(C36),CHAR(160),"")))*
       (TRIM(SUBSTITUTE(UPPER($D$2:$D36),CHAR(160),""))=TRIM(SUBSTITUTE(UPPER(D36),CHAR(160),"")))*
       (TRIM(SUBSTITUTE(UPPER($E$2:$E36),CHAR(160),""))=TRIM(SUBSTITUTE(UPPER(E36),CHAR(160),"")))
     )
  ),
  0
)</f>
        <v>0</v>
      </c>
      <c r="J36" s="8" cm="1">
        <f t="array" ref="J36">IFERROR(
  IF(D36&lt;&gt;"Catherine",
     0,
     SUMPRODUCT(
       (TRIM(SUBSTITUTE(UPPER($B$2:$B36),CHAR(160),""))=TRIM(SUBSTITUTE(UPPER(B36),CHAR(160),"")))*
       (TRIM(SUBSTITUTE(UPPER($C$2:$C36),CHAR(160),""))=TRIM(SUBSTITUTE(UPPER(C36),CHAR(160),"")))*
       (TRIM(SUBSTITUTE(UPPER($D$2:$D36),CHAR(160),""))=TRIM(SUBSTITUTE(UPPER(D36),CHAR(160),"")))*
       (TRIM(SUBSTITUTE(UPPER($E$2:$E36),CHAR(160),""))=TRIM(SUBSTITUTE(UPPER(E36),CHAR(160),"")))
     )
  ),
  0
)</f>
        <v>0</v>
      </c>
      <c r="K36" s="9">
        <f>IFERROR(
  IF(
    D36&lt;&gt;"Cédric",
    0,
    IF(
      C36="",
      IF(
        COUNTIFS($B$2:B36,B36,$E$2:E36,E36,$D$2:D36,D36)=1,
        INDEX([1]DB!$A:$A,MATCH($E36,[1]DB!$D:$D,0)),
        IF(
          COUNTIFS($B$2:B36,B36,$E$2:E36,E36,$D$2:D36,D36)=2,
          INDEX([1]DB!$B:$B,MATCH($E36,[1]DB!$D:$D,0)),
          INDEX([1]DB!$C:$C,MATCH($E36,[1]DB!$D:$D,0))
        )
      ),
      IF(
        COUNTIFS($C$2:C36,C36,$E$2:E36,E36,$D$2:D36,D36)=1,
        INDEX([1]DB!$A:$A,MATCH($E36,[1]DB!$D:$D,0)),
        IF(
          COUNTIFS($C$2:C36,C36,$E$2:E36,E36,$D$2:D36,D36)=2,
          INDEX([1]DB!$B:$B,MATCH($E36,[1]DB!$D:$D,0)),
          INDEX([1]DB!$C:$C,MATCH($E36,[1]DB!$D:$D,0))
        )
      )
    )
  ),
  0
)</f>
        <v>75</v>
      </c>
      <c r="L36" s="9">
        <f>IFERROR(
  IF(
    D36&lt;&gt;"Geoffroy",
    0,
    IF(
      C36="",
      IF(
        COUNTIFS($B$2:B36,B36,$E$2:E36,E36,$D$2:D36,D36)=1,
        INDEX([1]DB!$A:$A,MATCH($E36,[1]DB!$D:$D,0)),
        IF(
          COUNTIFS($B$2:B36,B36,$E$2:E36,E36,$D$2:D36,D36)=2,
          INDEX([1]DB!$B:$B,MATCH($E36,[1]DB!$D:$D,0)),
          INDEX([1]DB!$C:$C,MATCH($E36,[1]DB!$D:$D,0))
        )
      ),
      IF(
        COUNTIFS($C$2:C36,C36,$E$2:E36,E36,$D$2:D36,D36)=1,
        INDEX([1]DB!$A:$A,MATCH($E36,[1]DB!$D:$D,0)),
        IF(
          COUNTIFS($C$2:C36,C36,$E$2:E36,E36,$D$2:D36,D36)=2,
          INDEX([1]DB!$B:$B,MATCH($E36,[1]DB!$D:$D,0)),
          INDEX([1]DB!$C:$C,MATCH($E36,[1]DB!$D:$D,0))
        )
      )
    )
  ),
  0
)</f>
        <v>0</v>
      </c>
      <c r="M36" s="9">
        <f>IFERROR(
  IF(
    D36&lt;&gt;"Tiphaine",
    0,
    IF(
      C36="",
      IF(
        COUNTIFS($B$2:B36,B36,$E$2:E36,E36,$D$2:D36,D36)=1,
        INDEX([1]DB!$A:$A,MATCH($E36,[1]DB!$D:$D,0)),
        IF(
          COUNTIFS($B$2:B36,B36,$E$2:E36,E36,$D$2:D36,D36)=2,
          INDEX([1]DB!$B:$B,MATCH($E36,[1]DB!$D:$D,0)),
          INDEX([1]DB!$C:$C,MATCH($E36,[1]DB!$D:$D,0))
        )
      ),
      IF(
        COUNTIFS($C$2:C36,C36,$E$2:E36,E36,$D$2:D36,D36)=1,
        INDEX([1]DB!$A:$A,MATCH($E36,[1]DB!$D:$D,0)),
        IF(
          COUNTIFS($C$2:C36,C36,$E$2:E36,E36,$D$2:D36,D36)=2,
          INDEX([1]DB!$B:$B,MATCH($E36,[1]DB!$D:$D,0)),
          INDEX([1]DB!$C:$C,MATCH($E36,[1]DB!$D:$D,0))
        )
      )
    )
  ),
  0
)</f>
        <v>0</v>
      </c>
      <c r="N36" s="9">
        <f>IFERROR(
  IF(
    D36&lt;&gt;"Catherine",
    0,
    IF(
      C36="",
      IF(
        COUNTIFS($B$2:B36,B36,$E$2:E36,E36,$D$2:D36,D36)=1,
        INDEX([1]DB!$A:$A,MATCH($E36,[1]DB!$D:$D,0)),
        IF(
          COUNTIFS($B$2:B36,B36,$E$2:E36,E36,$D$2:D36,D36)=2,
          INDEX([1]DB!$B:$B,MATCH($E36,[1]DB!$D:$D,0)),
          INDEX([1]DB!$C:$C,MATCH($E36,[1]DB!$D:$D,0))
        )
      ),
      IF(
        COUNTIFS($C$2:C36,C36,$E$2:E36,E36,$D$2:D36,D36)=1,
        INDEX([1]DB!$A:$A,MATCH($E36,[1]DB!$D:$D,0)),
        IF(
          COUNTIFS($C$2:C36,C36,$E$2:E36,E36,$D$2:D36,D36)=2,
          INDEX([1]DB!$B:$B,MATCH($E36,[1]DB!$D:$D,0)),
          INDEX([1]DB!$C:$C,MATCH($E36,[1]DB!$D:$D,0))
        )
      )
    )
  ),
  0
)</f>
        <v>0</v>
      </c>
      <c r="O36" s="5" t="str">
        <f>IF(DAY(A36)&lt;=15,UPPER(LEFT(TEXT(A36,"mmmm"),1))&amp;RIGHT(TEXT(A36,"mmmm"),LEN(TEXT(A36,"mmmm"))-1),UPPER(LEFT(TEXT(DATE(YEAR(A36),MONTH(A36)+1,1),"mmmm"),1))&amp;RIGHT(TEXT(DATE(YEAR(A36),MONTH(A36)+1,1),"mmmm"),LEN(TEXT(DATE(YEAR(A36),MONTH(A36)+1,1),"mmmm"))-1))</f>
        <v>Mars</v>
      </c>
      <c r="P36" s="6" t="str">
        <f ca="1">IF(AND(A36&lt;=TODAY(),F36&lt;&gt;""),"OK","NON")</f>
        <v>OK</v>
      </c>
    </row>
    <row r="37" spans="1:16">
      <c r="A37" s="4">
        <v>46071</v>
      </c>
      <c r="B37" s="5" t="s">
        <v>76</v>
      </c>
      <c r="C37" s="5" t="s">
        <v>77</v>
      </c>
      <c r="D37" s="6" t="s">
        <v>14</v>
      </c>
      <c r="E37" s="6" t="s">
        <v>27</v>
      </c>
      <c r="F37" s="7">
        <v>7.04</v>
      </c>
      <c r="G37" s="8" cm="1">
        <f t="array" ref="G37">IFERROR(
  IF(D37&lt;&gt;"Cédric",
     0,
     SUMPRODUCT(
       (TRIM(SUBSTITUTE(UPPER($B$2:$B37),CHAR(160),""))=TRIM(SUBSTITUTE(UPPER(B37),CHAR(160),"")))*
       (TRIM(SUBSTITUTE(UPPER($C$2:$C37),CHAR(160),""))=TRIM(SUBSTITUTE(UPPER(C37),CHAR(160),"")))*
       (TRIM(SUBSTITUTE(UPPER($D$2:$D37),CHAR(160),""))=TRIM(SUBSTITUTE(UPPER(D37),CHAR(160),"")))*
       (TRIM(SUBSTITUTE(UPPER($E$2:$E37),CHAR(160),""))=TRIM(SUBSTITUTE(UPPER(E37),CHAR(160),"")))
     )
  ),
  0
)</f>
        <v>1</v>
      </c>
      <c r="H37" s="8" cm="1">
        <f t="array" ref="H37">IFERROR(
  IF(D37&lt;&gt;"Geoffroy",
     0,
     SUMPRODUCT(
       (TRIM(SUBSTITUTE(UPPER($B$2:$B37),CHAR(160),""))=TRIM(SUBSTITUTE(UPPER(B37),CHAR(160),"")))*
       (TRIM(SUBSTITUTE(UPPER($C$2:$C37),CHAR(160),""))=TRIM(SUBSTITUTE(UPPER(C37),CHAR(160),"")))*
       (TRIM(SUBSTITUTE(UPPER($D$2:$D37),CHAR(160),""))=TRIM(SUBSTITUTE(UPPER(D37),CHAR(160),"")))*
       (TRIM(SUBSTITUTE(UPPER($E$2:$E37),CHAR(160),""))=TRIM(SUBSTITUTE(UPPER(E37),CHAR(160),"")))
     )
  ),
  0
)</f>
        <v>0</v>
      </c>
      <c r="I37" s="8" cm="1">
        <f t="array" ref="I37">IFERROR(
  IF(D37&lt;&gt;"Tiphaine",
     0,
     SUMPRODUCT(
       (TRIM(SUBSTITUTE(UPPER($B$2:$B37),CHAR(160),""))=TRIM(SUBSTITUTE(UPPER(B37),CHAR(160),"")))*
       (TRIM(SUBSTITUTE(UPPER($C$2:$C37),CHAR(160),""))=TRIM(SUBSTITUTE(UPPER(C37),CHAR(160),"")))*
       (TRIM(SUBSTITUTE(UPPER($D$2:$D37),CHAR(160),""))=TRIM(SUBSTITUTE(UPPER(D37),CHAR(160),"")))*
       (TRIM(SUBSTITUTE(UPPER($E$2:$E37),CHAR(160),""))=TRIM(SUBSTITUTE(UPPER(E37),CHAR(160),"")))
     )
  ),
  0
)</f>
        <v>0</v>
      </c>
      <c r="J37" s="8" cm="1">
        <f t="array" ref="J37">IFERROR(
  IF(D37&lt;&gt;"Catherine",
     0,
     SUMPRODUCT(
       (TRIM(SUBSTITUTE(UPPER($B$2:$B37),CHAR(160),""))=TRIM(SUBSTITUTE(UPPER(B37),CHAR(160),"")))*
       (TRIM(SUBSTITUTE(UPPER($C$2:$C37),CHAR(160),""))=TRIM(SUBSTITUTE(UPPER(C37),CHAR(160),"")))*
       (TRIM(SUBSTITUTE(UPPER($D$2:$D37),CHAR(160),""))=TRIM(SUBSTITUTE(UPPER(D37),CHAR(160),"")))*
       (TRIM(SUBSTITUTE(UPPER($E$2:$E37),CHAR(160),""))=TRIM(SUBSTITUTE(UPPER(E37),CHAR(160),"")))
     )
  ),
  0
)</f>
        <v>0</v>
      </c>
      <c r="K37" s="9">
        <f>IFERROR(
  IF(
    D37&lt;&gt;"Cédric",
    0,
    IF(
      C37="",
      IF(
        COUNTIFS($B$2:B37,B37,$E$2:E37,E37,$D$2:D37,D37)=1,
        INDEX([1]DB!$A:$A,MATCH($E37,[1]DB!$D:$D,0)),
        IF(
          COUNTIFS($B$2:B37,B37,$E$2:E37,E37,$D$2:D37,D37)=2,
          INDEX([1]DB!$B:$B,MATCH($E37,[1]DB!$D:$D,0)),
          INDEX([1]DB!$C:$C,MATCH($E37,[1]DB!$D:$D,0))
        )
      ),
      IF(
        COUNTIFS($C$2:C37,C37,$E$2:E37,E37,$D$2:D37,D37)=1,
        INDEX([1]DB!$A:$A,MATCH($E37,[1]DB!$D:$D,0)),
        IF(
          COUNTIFS($C$2:C37,C37,$E$2:E37,E37,$D$2:D37,D37)=2,
          INDEX([1]DB!$B:$B,MATCH($E37,[1]DB!$D:$D,0)),
          INDEX([1]DB!$C:$C,MATCH($E37,[1]DB!$D:$D,0))
        )
      )
    )
  ),
  0
)</f>
        <v>75</v>
      </c>
      <c r="L37" s="9">
        <f>IFERROR(
  IF(
    D37&lt;&gt;"Geoffroy",
    0,
    IF(
      C37="",
      IF(
        COUNTIFS($B$2:B37,B37,$E$2:E37,E37,$D$2:D37,D37)=1,
        INDEX([1]DB!$A:$A,MATCH($E37,[1]DB!$D:$D,0)),
        IF(
          COUNTIFS($B$2:B37,B37,$E$2:E37,E37,$D$2:D37,D37)=2,
          INDEX([1]DB!$B:$B,MATCH($E37,[1]DB!$D:$D,0)),
          INDEX([1]DB!$C:$C,MATCH($E37,[1]DB!$D:$D,0))
        )
      ),
      IF(
        COUNTIFS($C$2:C37,C37,$E$2:E37,E37,$D$2:D37,D37)=1,
        INDEX([1]DB!$A:$A,MATCH($E37,[1]DB!$D:$D,0)),
        IF(
          COUNTIFS($C$2:C37,C37,$E$2:E37,E37,$D$2:D37,D37)=2,
          INDEX([1]DB!$B:$B,MATCH($E37,[1]DB!$D:$D,0)),
          INDEX([1]DB!$C:$C,MATCH($E37,[1]DB!$D:$D,0))
        )
      )
    )
  ),
  0
)</f>
        <v>0</v>
      </c>
      <c r="M37" s="9">
        <f>IFERROR(
  IF(
    D37&lt;&gt;"Tiphaine",
    0,
    IF(
      C37="",
      IF(
        COUNTIFS($B$2:B37,B37,$E$2:E37,E37,$D$2:D37,D37)=1,
        INDEX([1]DB!$A:$A,MATCH($E37,[1]DB!$D:$D,0)),
        IF(
          COUNTIFS($B$2:B37,B37,$E$2:E37,E37,$D$2:D37,D37)=2,
          INDEX([1]DB!$B:$B,MATCH($E37,[1]DB!$D:$D,0)),
          INDEX([1]DB!$C:$C,MATCH($E37,[1]DB!$D:$D,0))
        )
      ),
      IF(
        COUNTIFS($C$2:C37,C37,$E$2:E37,E37,$D$2:D37,D37)=1,
        INDEX([1]DB!$A:$A,MATCH($E37,[1]DB!$D:$D,0)),
        IF(
          COUNTIFS($C$2:C37,C37,$E$2:E37,E37,$D$2:D37,D37)=2,
          INDEX([1]DB!$B:$B,MATCH($E37,[1]DB!$D:$D,0)),
          INDEX([1]DB!$C:$C,MATCH($E37,[1]DB!$D:$D,0))
        )
      )
    )
  ),
  0
)</f>
        <v>0</v>
      </c>
      <c r="N37" s="9">
        <f>IFERROR(
  IF(
    D37&lt;&gt;"Catherine",
    0,
    IF(
      C37="",
      IF(
        COUNTIFS($B$2:B37,B37,$E$2:E37,E37,$D$2:D37,D37)=1,
        INDEX([1]DB!$A:$A,MATCH($E37,[1]DB!$D:$D,0)),
        IF(
          COUNTIFS($B$2:B37,B37,$E$2:E37,E37,$D$2:D37,D37)=2,
          INDEX([1]DB!$B:$B,MATCH($E37,[1]DB!$D:$D,0)),
          INDEX([1]DB!$C:$C,MATCH($E37,[1]DB!$D:$D,0))
        )
      ),
      IF(
        COUNTIFS($C$2:C37,C37,$E$2:E37,E37,$D$2:D37,D37)=1,
        INDEX([1]DB!$A:$A,MATCH($E37,[1]DB!$D:$D,0)),
        IF(
          COUNTIFS($C$2:C37,C37,$E$2:E37,E37,$D$2:D37,D37)=2,
          INDEX([1]DB!$B:$B,MATCH($E37,[1]DB!$D:$D,0)),
          INDEX([1]DB!$C:$C,MATCH($E37,[1]DB!$D:$D,0))
        )
      )
    )
  ),
  0
)</f>
        <v>0</v>
      </c>
      <c r="O37" s="5" t="str">
        <f>IF(DAY(A37)&lt;=15,UPPER(LEFT(TEXT(A37,"mmmm"),1))&amp;RIGHT(TEXT(A37,"mmmm"),LEN(TEXT(A37,"mmmm"))-1),UPPER(LEFT(TEXT(DATE(YEAR(A37),MONTH(A37)+1,1),"mmmm"),1))&amp;RIGHT(TEXT(DATE(YEAR(A37),MONTH(A37)+1,1),"mmmm"),LEN(TEXT(DATE(YEAR(A37),MONTH(A37)+1,1),"mmmm"))-1))</f>
        <v>Mars</v>
      </c>
      <c r="P37" s="6" t="str">
        <f ca="1">IF(AND(A37&lt;=TODAY(),F37&lt;&gt;""),"OK","NON")</f>
        <v>OK</v>
      </c>
    </row>
    <row r="38" spans="1:16">
      <c r="A38" s="4">
        <v>46072</v>
      </c>
      <c r="B38" s="5" t="s">
        <v>73</v>
      </c>
      <c r="C38" s="5" t="s">
        <v>78</v>
      </c>
      <c r="D38" s="6" t="s">
        <v>14</v>
      </c>
      <c r="E38" s="6" t="s">
        <v>27</v>
      </c>
      <c r="F38" s="7">
        <v>5.31</v>
      </c>
      <c r="G38" s="8" cm="1">
        <f t="array" ref="G38">IFERROR(
  IF(D38&lt;&gt;"Cédric",
     0,
     SUMPRODUCT(
       (TRIM(SUBSTITUTE(UPPER($B$2:$B38),CHAR(160),""))=TRIM(SUBSTITUTE(UPPER(B38),CHAR(160),"")))*
       (TRIM(SUBSTITUTE(UPPER($C$2:$C38),CHAR(160),""))=TRIM(SUBSTITUTE(UPPER(C38),CHAR(160),"")))*
       (TRIM(SUBSTITUTE(UPPER($D$2:$D38),CHAR(160),""))=TRIM(SUBSTITUTE(UPPER(D38),CHAR(160),"")))*
       (TRIM(SUBSTITUTE(UPPER($E$2:$E38),CHAR(160),""))=TRIM(SUBSTITUTE(UPPER(E38),CHAR(160),"")))
     )
  ),
  0
)</f>
        <v>1</v>
      </c>
      <c r="H38" s="8" cm="1">
        <f t="array" ref="H38">IFERROR(
  IF(D38&lt;&gt;"Geoffroy",
     0,
     SUMPRODUCT(
       (TRIM(SUBSTITUTE(UPPER($B$2:$B38),CHAR(160),""))=TRIM(SUBSTITUTE(UPPER(B38),CHAR(160),"")))*
       (TRIM(SUBSTITUTE(UPPER($C$2:$C38),CHAR(160),""))=TRIM(SUBSTITUTE(UPPER(C38),CHAR(160),"")))*
       (TRIM(SUBSTITUTE(UPPER($D$2:$D38),CHAR(160),""))=TRIM(SUBSTITUTE(UPPER(D38),CHAR(160),"")))*
       (TRIM(SUBSTITUTE(UPPER($E$2:$E38),CHAR(160),""))=TRIM(SUBSTITUTE(UPPER(E38),CHAR(160),"")))
     )
  ),
  0
)</f>
        <v>0</v>
      </c>
      <c r="I38" s="8" cm="1">
        <f t="array" ref="I38">IFERROR(
  IF(D38&lt;&gt;"Tiphaine",
     0,
     SUMPRODUCT(
       (TRIM(SUBSTITUTE(UPPER($B$2:$B38),CHAR(160),""))=TRIM(SUBSTITUTE(UPPER(B38),CHAR(160),"")))*
       (TRIM(SUBSTITUTE(UPPER($C$2:$C38),CHAR(160),""))=TRIM(SUBSTITUTE(UPPER(C38),CHAR(160),"")))*
       (TRIM(SUBSTITUTE(UPPER($D$2:$D38),CHAR(160),""))=TRIM(SUBSTITUTE(UPPER(D38),CHAR(160),"")))*
       (TRIM(SUBSTITUTE(UPPER($E$2:$E38),CHAR(160),""))=TRIM(SUBSTITUTE(UPPER(E38),CHAR(160),"")))
     )
  ),
  0
)</f>
        <v>0</v>
      </c>
      <c r="J38" s="8" cm="1">
        <f t="array" ref="J38">IFERROR(
  IF(D38&lt;&gt;"Catherine",
     0,
     SUMPRODUCT(
       (TRIM(SUBSTITUTE(UPPER($B$2:$B38),CHAR(160),""))=TRIM(SUBSTITUTE(UPPER(B38),CHAR(160),"")))*
       (TRIM(SUBSTITUTE(UPPER($C$2:$C38),CHAR(160),""))=TRIM(SUBSTITUTE(UPPER(C38),CHAR(160),"")))*
       (TRIM(SUBSTITUTE(UPPER($D$2:$D38),CHAR(160),""))=TRIM(SUBSTITUTE(UPPER(D38),CHAR(160),"")))*
       (TRIM(SUBSTITUTE(UPPER($E$2:$E38),CHAR(160),""))=TRIM(SUBSTITUTE(UPPER(E38),CHAR(160),"")))
     )
  ),
  0
)</f>
        <v>0</v>
      </c>
      <c r="K38" s="9">
        <f>IFERROR(
  IF(
    D38&lt;&gt;"Cédric",
    0,
    IF(
      C38="",
      IF(
        COUNTIFS($B$2:B38,B38,$E$2:E38,E38,$D$2:D38,D38)=1,
        INDEX([1]DB!$A:$A,MATCH($E38,[1]DB!$D:$D,0)),
        IF(
          COUNTIFS($B$2:B38,B38,$E$2:E38,E38,$D$2:D38,D38)=2,
          INDEX([1]DB!$B:$B,MATCH($E38,[1]DB!$D:$D,0)),
          INDEX([1]DB!$C:$C,MATCH($E38,[1]DB!$D:$D,0))
        )
      ),
      IF(
        COUNTIFS($C$2:C38,C38,$E$2:E38,E38,$D$2:D38,D38)=1,
        INDEX([1]DB!$A:$A,MATCH($E38,[1]DB!$D:$D,0)),
        IF(
          COUNTIFS($C$2:C38,C38,$E$2:E38,E38,$D$2:D38,D38)=2,
          INDEX([1]DB!$B:$B,MATCH($E38,[1]DB!$D:$D,0)),
          INDEX([1]DB!$C:$C,MATCH($E38,[1]DB!$D:$D,0))
        )
      )
    )
  ),
  0
)</f>
        <v>75</v>
      </c>
      <c r="L38" s="9">
        <f>IFERROR(
  IF(
    D38&lt;&gt;"Geoffroy",
    0,
    IF(
      C38="",
      IF(
        COUNTIFS($B$2:B38,B38,$E$2:E38,E38,$D$2:D38,D38)=1,
        INDEX([1]DB!$A:$A,MATCH($E38,[1]DB!$D:$D,0)),
        IF(
          COUNTIFS($B$2:B38,B38,$E$2:E38,E38,$D$2:D38,D38)=2,
          INDEX([1]DB!$B:$B,MATCH($E38,[1]DB!$D:$D,0)),
          INDEX([1]DB!$C:$C,MATCH($E38,[1]DB!$D:$D,0))
        )
      ),
      IF(
        COUNTIFS($C$2:C38,C38,$E$2:E38,E38,$D$2:D38,D38)=1,
        INDEX([1]DB!$A:$A,MATCH($E38,[1]DB!$D:$D,0)),
        IF(
          COUNTIFS($C$2:C38,C38,$E$2:E38,E38,$D$2:D38,D38)=2,
          INDEX([1]DB!$B:$B,MATCH($E38,[1]DB!$D:$D,0)),
          INDEX([1]DB!$C:$C,MATCH($E38,[1]DB!$D:$D,0))
        )
      )
    )
  ),
  0
)</f>
        <v>0</v>
      </c>
      <c r="M38" s="9">
        <f>IFERROR(
  IF(
    D38&lt;&gt;"Tiphaine",
    0,
    IF(
      C38="",
      IF(
        COUNTIFS($B$2:B38,B38,$E$2:E38,E38,$D$2:D38,D38)=1,
        INDEX([1]DB!$A:$A,MATCH($E38,[1]DB!$D:$D,0)),
        IF(
          COUNTIFS($B$2:B38,B38,$E$2:E38,E38,$D$2:D38,D38)=2,
          INDEX([1]DB!$B:$B,MATCH($E38,[1]DB!$D:$D,0)),
          INDEX([1]DB!$C:$C,MATCH($E38,[1]DB!$D:$D,0))
        )
      ),
      IF(
        COUNTIFS($C$2:C38,C38,$E$2:E38,E38,$D$2:D38,D38)=1,
        INDEX([1]DB!$A:$A,MATCH($E38,[1]DB!$D:$D,0)),
        IF(
          COUNTIFS($C$2:C38,C38,$E$2:E38,E38,$D$2:D38,D38)=2,
          INDEX([1]DB!$B:$B,MATCH($E38,[1]DB!$D:$D,0)),
          INDEX([1]DB!$C:$C,MATCH($E38,[1]DB!$D:$D,0))
        )
      )
    )
  ),
  0
)</f>
        <v>0</v>
      </c>
      <c r="N38" s="9">
        <f>IFERROR(
  IF(
    D38&lt;&gt;"Catherine",
    0,
    IF(
      C38="",
      IF(
        COUNTIFS($B$2:B38,B38,$E$2:E38,E38,$D$2:D38,D38)=1,
        INDEX([1]DB!$A:$A,MATCH($E38,[1]DB!$D:$D,0)),
        IF(
          COUNTIFS($B$2:B38,B38,$E$2:E38,E38,$D$2:D38,D38)=2,
          INDEX([1]DB!$B:$B,MATCH($E38,[1]DB!$D:$D,0)),
          INDEX([1]DB!$C:$C,MATCH($E38,[1]DB!$D:$D,0))
        )
      ),
      IF(
        COUNTIFS($C$2:C38,C38,$E$2:E38,E38,$D$2:D38,D38)=1,
        INDEX([1]DB!$A:$A,MATCH($E38,[1]DB!$D:$D,0)),
        IF(
          COUNTIFS($C$2:C38,C38,$E$2:E38,E38,$D$2:D38,D38)=2,
          INDEX([1]DB!$B:$B,MATCH($E38,[1]DB!$D:$D,0)),
          INDEX([1]DB!$C:$C,MATCH($E38,[1]DB!$D:$D,0))
        )
      )
    )
  ),
  0
)</f>
        <v>0</v>
      </c>
      <c r="O38" s="5" t="str">
        <f>IF(DAY(A38)&lt;=15,UPPER(LEFT(TEXT(A38,"mmmm"),1))&amp;RIGHT(TEXT(A38,"mmmm"),LEN(TEXT(A38,"mmmm"))-1),UPPER(LEFT(TEXT(DATE(YEAR(A38),MONTH(A38)+1,1),"mmmm"),1))&amp;RIGHT(TEXT(DATE(YEAR(A38),MONTH(A38)+1,1),"mmmm"),LEN(TEXT(DATE(YEAR(A38),MONTH(A38)+1,1),"mmmm"))-1))</f>
        <v>Mars</v>
      </c>
      <c r="P38" s="6" t="str">
        <f ca="1">IF(AND(A38&lt;=TODAY(),F38&lt;&gt;""),"OK","NON")</f>
        <v>OK</v>
      </c>
    </row>
    <row r="39" spans="1:16">
      <c r="A39" s="4">
        <v>46073</v>
      </c>
      <c r="B39" s="5" t="s">
        <v>73</v>
      </c>
      <c r="C39" s="5" t="s">
        <v>79</v>
      </c>
      <c r="D39" s="6" t="s">
        <v>14</v>
      </c>
      <c r="E39" s="6" t="s">
        <v>27</v>
      </c>
      <c r="F39" s="7">
        <v>5.68</v>
      </c>
      <c r="G39" s="8" cm="1">
        <f t="array" ref="G39">IFERROR(
  IF(D39&lt;&gt;"Cédric",
     0,
     SUMPRODUCT(
       (TRIM(SUBSTITUTE(UPPER($B$2:$B39),CHAR(160),""))=TRIM(SUBSTITUTE(UPPER(B39),CHAR(160),"")))*
       (TRIM(SUBSTITUTE(UPPER($C$2:$C39),CHAR(160),""))=TRIM(SUBSTITUTE(UPPER(C39),CHAR(160),"")))*
       (TRIM(SUBSTITUTE(UPPER($D$2:$D39),CHAR(160),""))=TRIM(SUBSTITUTE(UPPER(D39),CHAR(160),"")))*
       (TRIM(SUBSTITUTE(UPPER($E$2:$E39),CHAR(160),""))=TRIM(SUBSTITUTE(UPPER(E39),CHAR(160),"")))
     )
  ),
  0
)</f>
        <v>1</v>
      </c>
      <c r="H39" s="8" cm="1">
        <f t="array" ref="H39">IFERROR(
  IF(D39&lt;&gt;"Geoffroy",
     0,
     SUMPRODUCT(
       (TRIM(SUBSTITUTE(UPPER($B$2:$B39),CHAR(160),""))=TRIM(SUBSTITUTE(UPPER(B39),CHAR(160),"")))*
       (TRIM(SUBSTITUTE(UPPER($C$2:$C39),CHAR(160),""))=TRIM(SUBSTITUTE(UPPER(C39),CHAR(160),"")))*
       (TRIM(SUBSTITUTE(UPPER($D$2:$D39),CHAR(160),""))=TRIM(SUBSTITUTE(UPPER(D39),CHAR(160),"")))*
       (TRIM(SUBSTITUTE(UPPER($E$2:$E39),CHAR(160),""))=TRIM(SUBSTITUTE(UPPER(E39),CHAR(160),"")))
     )
  ),
  0
)</f>
        <v>0</v>
      </c>
      <c r="I39" s="8" cm="1">
        <f t="array" ref="I39">IFERROR(
  IF(D39&lt;&gt;"Tiphaine",
     0,
     SUMPRODUCT(
       (TRIM(SUBSTITUTE(UPPER($B$2:$B39),CHAR(160),""))=TRIM(SUBSTITUTE(UPPER(B39),CHAR(160),"")))*
       (TRIM(SUBSTITUTE(UPPER($C$2:$C39),CHAR(160),""))=TRIM(SUBSTITUTE(UPPER(C39),CHAR(160),"")))*
       (TRIM(SUBSTITUTE(UPPER($D$2:$D39),CHAR(160),""))=TRIM(SUBSTITUTE(UPPER(D39),CHAR(160),"")))*
       (TRIM(SUBSTITUTE(UPPER($E$2:$E39),CHAR(160),""))=TRIM(SUBSTITUTE(UPPER(E39),CHAR(160),"")))
     )
  ),
  0
)</f>
        <v>0</v>
      </c>
      <c r="J39" s="8" cm="1">
        <f t="array" ref="J39">IFERROR(
  IF(D39&lt;&gt;"Catherine",
     0,
     SUMPRODUCT(
       (TRIM(SUBSTITUTE(UPPER($B$2:$B39),CHAR(160),""))=TRIM(SUBSTITUTE(UPPER(B39),CHAR(160),"")))*
       (TRIM(SUBSTITUTE(UPPER($C$2:$C39),CHAR(160),""))=TRIM(SUBSTITUTE(UPPER(C39),CHAR(160),"")))*
       (TRIM(SUBSTITUTE(UPPER($D$2:$D39),CHAR(160),""))=TRIM(SUBSTITUTE(UPPER(D39),CHAR(160),"")))*
       (TRIM(SUBSTITUTE(UPPER($E$2:$E39),CHAR(160),""))=TRIM(SUBSTITUTE(UPPER(E39),CHAR(160),"")))
     )
  ),
  0
)</f>
        <v>0</v>
      </c>
      <c r="K39" s="9">
        <f>IFERROR(
  IF(
    D39&lt;&gt;"Cédric",
    0,
    IF(
      C39="",
      IF(
        COUNTIFS($B$2:B39,B39,$E$2:E39,E39,$D$2:D39,D39)=1,
        INDEX([1]DB!$A:$A,MATCH($E39,[1]DB!$D:$D,0)),
        IF(
          COUNTIFS($B$2:B39,B39,$E$2:E39,E39,$D$2:D39,D39)=2,
          INDEX([1]DB!$B:$B,MATCH($E39,[1]DB!$D:$D,0)),
          INDEX([1]DB!$C:$C,MATCH($E39,[1]DB!$D:$D,0))
        )
      ),
      IF(
        COUNTIFS($C$2:C39,C39,$E$2:E39,E39,$D$2:D39,D39)=1,
        INDEX([1]DB!$A:$A,MATCH($E39,[1]DB!$D:$D,0)),
        IF(
          COUNTIFS($C$2:C39,C39,$E$2:E39,E39,$D$2:D39,D39)=2,
          INDEX([1]DB!$B:$B,MATCH($E39,[1]DB!$D:$D,0)),
          INDEX([1]DB!$C:$C,MATCH($E39,[1]DB!$D:$D,0))
        )
      )
    )
  ),
  0
)</f>
        <v>75</v>
      </c>
      <c r="L39" s="9">
        <f>IFERROR(
  IF(
    D39&lt;&gt;"Geoffroy",
    0,
    IF(
      C39="",
      IF(
        COUNTIFS($B$2:B39,B39,$E$2:E39,E39,$D$2:D39,D39)=1,
        INDEX([1]DB!$A:$A,MATCH($E39,[1]DB!$D:$D,0)),
        IF(
          COUNTIFS($B$2:B39,B39,$E$2:E39,E39,$D$2:D39,D39)=2,
          INDEX([1]DB!$B:$B,MATCH($E39,[1]DB!$D:$D,0)),
          INDEX([1]DB!$C:$C,MATCH($E39,[1]DB!$D:$D,0))
        )
      ),
      IF(
        COUNTIFS($C$2:C39,C39,$E$2:E39,E39,$D$2:D39,D39)=1,
        INDEX([1]DB!$A:$A,MATCH($E39,[1]DB!$D:$D,0)),
        IF(
          COUNTIFS($C$2:C39,C39,$E$2:E39,E39,$D$2:D39,D39)=2,
          INDEX([1]DB!$B:$B,MATCH($E39,[1]DB!$D:$D,0)),
          INDEX([1]DB!$C:$C,MATCH($E39,[1]DB!$D:$D,0))
        )
      )
    )
  ),
  0
)</f>
        <v>0</v>
      </c>
      <c r="M39" s="9">
        <f>IFERROR(
  IF(
    D39&lt;&gt;"Tiphaine",
    0,
    IF(
      C39="",
      IF(
        COUNTIFS($B$2:B39,B39,$E$2:E39,E39,$D$2:D39,D39)=1,
        INDEX([1]DB!$A:$A,MATCH($E39,[1]DB!$D:$D,0)),
        IF(
          COUNTIFS($B$2:B39,B39,$E$2:E39,E39,$D$2:D39,D39)=2,
          INDEX([1]DB!$B:$B,MATCH($E39,[1]DB!$D:$D,0)),
          INDEX([1]DB!$C:$C,MATCH($E39,[1]DB!$D:$D,0))
        )
      ),
      IF(
        COUNTIFS($C$2:C39,C39,$E$2:E39,E39,$D$2:D39,D39)=1,
        INDEX([1]DB!$A:$A,MATCH($E39,[1]DB!$D:$D,0)),
        IF(
          COUNTIFS($C$2:C39,C39,$E$2:E39,E39,$D$2:D39,D39)=2,
          INDEX([1]DB!$B:$B,MATCH($E39,[1]DB!$D:$D,0)),
          INDEX([1]DB!$C:$C,MATCH($E39,[1]DB!$D:$D,0))
        )
      )
    )
  ),
  0
)</f>
        <v>0</v>
      </c>
      <c r="N39" s="9">
        <f>IFERROR(
  IF(
    D39&lt;&gt;"Catherine",
    0,
    IF(
      C39="",
      IF(
        COUNTIFS($B$2:B39,B39,$E$2:E39,E39,$D$2:D39,D39)=1,
        INDEX([1]DB!$A:$A,MATCH($E39,[1]DB!$D:$D,0)),
        IF(
          COUNTIFS($B$2:B39,B39,$E$2:E39,E39,$D$2:D39,D39)=2,
          INDEX([1]DB!$B:$B,MATCH($E39,[1]DB!$D:$D,0)),
          INDEX([1]DB!$C:$C,MATCH($E39,[1]DB!$D:$D,0))
        )
      ),
      IF(
        COUNTIFS($C$2:C39,C39,$E$2:E39,E39,$D$2:D39,D39)=1,
        INDEX([1]DB!$A:$A,MATCH($E39,[1]DB!$D:$D,0)),
        IF(
          COUNTIFS($C$2:C39,C39,$E$2:E39,E39,$D$2:D39,D39)=2,
          INDEX([1]DB!$B:$B,MATCH($E39,[1]DB!$D:$D,0)),
          INDEX([1]DB!$C:$C,MATCH($E39,[1]DB!$D:$D,0))
        )
      )
    )
  ),
  0
)</f>
        <v>0</v>
      </c>
      <c r="O39" s="5" t="str">
        <f>IF(DAY(A39)&lt;=15,UPPER(LEFT(TEXT(A39,"mmmm"),1))&amp;RIGHT(TEXT(A39,"mmmm"),LEN(TEXT(A39,"mmmm"))-1),UPPER(LEFT(TEXT(DATE(YEAR(A39),MONTH(A39)+1,1),"mmmm"),1))&amp;RIGHT(TEXT(DATE(YEAR(A39),MONTH(A39)+1,1),"mmmm"),LEN(TEXT(DATE(YEAR(A39),MONTH(A39)+1,1),"mmmm"))-1))</f>
        <v>Mars</v>
      </c>
      <c r="P39" s="6" t="str">
        <f ca="1">IF(AND(A39&lt;=TODAY(),F39&lt;&gt;""),"OK","NON")</f>
        <v>OK</v>
      </c>
    </row>
    <row r="40" spans="1:16">
      <c r="A40" s="4">
        <v>46077</v>
      </c>
      <c r="B40" s="5" t="s">
        <v>80</v>
      </c>
      <c r="C40" s="5" t="s">
        <v>81</v>
      </c>
      <c r="D40" s="6" t="s">
        <v>14</v>
      </c>
      <c r="E40" s="6" t="s">
        <v>27</v>
      </c>
      <c r="F40" s="7">
        <v>7.16</v>
      </c>
      <c r="G40" s="8" cm="1">
        <f t="array" ref="G40">IFERROR(
  IF(D40&lt;&gt;"Cédric",
     0,
     SUMPRODUCT(
       (TRIM(SUBSTITUTE(UPPER($B$2:$B40),CHAR(160),""))=TRIM(SUBSTITUTE(UPPER(B40),CHAR(160),"")))*
       (TRIM(SUBSTITUTE(UPPER($C$2:$C40),CHAR(160),""))=TRIM(SUBSTITUTE(UPPER(C40),CHAR(160),"")))*
       (TRIM(SUBSTITUTE(UPPER($D$2:$D40),CHAR(160),""))=TRIM(SUBSTITUTE(UPPER(D40),CHAR(160),"")))*
       (TRIM(SUBSTITUTE(UPPER($E$2:$E40),CHAR(160),""))=TRIM(SUBSTITUTE(UPPER(E40),CHAR(160),"")))
     )
  ),
  0
)</f>
        <v>1</v>
      </c>
      <c r="H40" s="8" cm="1">
        <f t="array" ref="H40">IFERROR(
  IF(D40&lt;&gt;"Geoffroy",
     0,
     SUMPRODUCT(
       (TRIM(SUBSTITUTE(UPPER($B$2:$B40),CHAR(160),""))=TRIM(SUBSTITUTE(UPPER(B40),CHAR(160),"")))*
       (TRIM(SUBSTITUTE(UPPER($C$2:$C40),CHAR(160),""))=TRIM(SUBSTITUTE(UPPER(C40),CHAR(160),"")))*
       (TRIM(SUBSTITUTE(UPPER($D$2:$D40),CHAR(160),""))=TRIM(SUBSTITUTE(UPPER(D40),CHAR(160),"")))*
       (TRIM(SUBSTITUTE(UPPER($E$2:$E40),CHAR(160),""))=TRIM(SUBSTITUTE(UPPER(E40),CHAR(160),"")))
     )
  ),
  0
)</f>
        <v>0</v>
      </c>
      <c r="I40" s="8" cm="1">
        <f t="array" ref="I40">IFERROR(
  IF(D40&lt;&gt;"Tiphaine",
     0,
     SUMPRODUCT(
       (TRIM(SUBSTITUTE(UPPER($B$2:$B40),CHAR(160),""))=TRIM(SUBSTITUTE(UPPER(B40),CHAR(160),"")))*
       (TRIM(SUBSTITUTE(UPPER($C$2:$C40),CHAR(160),""))=TRIM(SUBSTITUTE(UPPER(C40),CHAR(160),"")))*
       (TRIM(SUBSTITUTE(UPPER($D$2:$D40),CHAR(160),""))=TRIM(SUBSTITUTE(UPPER(D40),CHAR(160),"")))*
       (TRIM(SUBSTITUTE(UPPER($E$2:$E40),CHAR(160),""))=TRIM(SUBSTITUTE(UPPER(E40),CHAR(160),"")))
     )
  ),
  0
)</f>
        <v>0</v>
      </c>
      <c r="J40" s="8" cm="1">
        <f t="array" ref="J40">IFERROR(
  IF(D40&lt;&gt;"Catherine",
     0,
     SUMPRODUCT(
       (TRIM(SUBSTITUTE(UPPER($B$2:$B40),CHAR(160),""))=TRIM(SUBSTITUTE(UPPER(B40),CHAR(160),"")))*
       (TRIM(SUBSTITUTE(UPPER($C$2:$C40),CHAR(160),""))=TRIM(SUBSTITUTE(UPPER(C40),CHAR(160),"")))*
       (TRIM(SUBSTITUTE(UPPER($D$2:$D40),CHAR(160),""))=TRIM(SUBSTITUTE(UPPER(D40),CHAR(160),"")))*
       (TRIM(SUBSTITUTE(UPPER($E$2:$E40),CHAR(160),""))=TRIM(SUBSTITUTE(UPPER(E40),CHAR(160),"")))
     )
  ),
  0
)</f>
        <v>0</v>
      </c>
      <c r="K40" s="9">
        <f>IFERROR(
  IF(
    D40&lt;&gt;"Cédric",
    0,
    IF(
      C40="",
      IF(
        COUNTIFS($B$2:B40,B40,$E$2:E40,E40,$D$2:D40,D40)=1,
        INDEX([1]DB!$A:$A,MATCH($E40,[1]DB!$D:$D,0)),
        IF(
          COUNTIFS($B$2:B40,B40,$E$2:E40,E40,$D$2:D40,D40)=2,
          INDEX([1]DB!$B:$B,MATCH($E40,[1]DB!$D:$D,0)),
          INDEX([1]DB!$C:$C,MATCH($E40,[1]DB!$D:$D,0))
        )
      ),
      IF(
        COUNTIFS($C$2:C40,C40,$E$2:E40,E40,$D$2:D40,D40)=1,
        INDEX([1]DB!$A:$A,MATCH($E40,[1]DB!$D:$D,0)),
        IF(
          COUNTIFS($C$2:C40,C40,$E$2:E40,E40,$D$2:D40,D40)=2,
          INDEX([1]DB!$B:$B,MATCH($E40,[1]DB!$D:$D,0)),
          INDEX([1]DB!$C:$C,MATCH($E40,[1]DB!$D:$D,0))
        )
      )
    )
  ),
  0
)</f>
        <v>75</v>
      </c>
      <c r="L40" s="9">
        <f>IFERROR(
  IF(
    D40&lt;&gt;"Geoffroy",
    0,
    IF(
      C40="",
      IF(
        COUNTIFS($B$2:B40,B40,$E$2:E40,E40,$D$2:D40,D40)=1,
        INDEX([1]DB!$A:$A,MATCH($E40,[1]DB!$D:$D,0)),
        IF(
          COUNTIFS($B$2:B40,B40,$E$2:E40,E40,$D$2:D40,D40)=2,
          INDEX([1]DB!$B:$B,MATCH($E40,[1]DB!$D:$D,0)),
          INDEX([1]DB!$C:$C,MATCH($E40,[1]DB!$D:$D,0))
        )
      ),
      IF(
        COUNTIFS($C$2:C40,C40,$E$2:E40,E40,$D$2:D40,D40)=1,
        INDEX([1]DB!$A:$A,MATCH($E40,[1]DB!$D:$D,0)),
        IF(
          COUNTIFS($C$2:C40,C40,$E$2:E40,E40,$D$2:D40,D40)=2,
          INDEX([1]DB!$B:$B,MATCH($E40,[1]DB!$D:$D,0)),
          INDEX([1]DB!$C:$C,MATCH($E40,[1]DB!$D:$D,0))
        )
      )
    )
  ),
  0
)</f>
        <v>0</v>
      </c>
      <c r="M40" s="9">
        <f>IFERROR(
  IF(
    D40&lt;&gt;"Tiphaine",
    0,
    IF(
      C40="",
      IF(
        COUNTIFS($B$2:B40,B40,$E$2:E40,E40,$D$2:D40,D40)=1,
        INDEX([1]DB!$A:$A,MATCH($E40,[1]DB!$D:$D,0)),
        IF(
          COUNTIFS($B$2:B40,B40,$E$2:E40,E40,$D$2:D40,D40)=2,
          INDEX([1]DB!$B:$B,MATCH($E40,[1]DB!$D:$D,0)),
          INDEX([1]DB!$C:$C,MATCH($E40,[1]DB!$D:$D,0))
        )
      ),
      IF(
        COUNTIFS($C$2:C40,C40,$E$2:E40,E40,$D$2:D40,D40)=1,
        INDEX([1]DB!$A:$A,MATCH($E40,[1]DB!$D:$D,0)),
        IF(
          COUNTIFS($C$2:C40,C40,$E$2:E40,E40,$D$2:D40,D40)=2,
          INDEX([1]DB!$B:$B,MATCH($E40,[1]DB!$D:$D,0)),
          INDEX([1]DB!$C:$C,MATCH($E40,[1]DB!$D:$D,0))
        )
      )
    )
  ),
  0
)</f>
        <v>0</v>
      </c>
      <c r="N40" s="9">
        <f>IFERROR(
  IF(
    D40&lt;&gt;"Catherine",
    0,
    IF(
      C40="",
      IF(
        COUNTIFS($B$2:B40,B40,$E$2:E40,E40,$D$2:D40,D40)=1,
        INDEX([1]DB!$A:$A,MATCH($E40,[1]DB!$D:$D,0)),
        IF(
          COUNTIFS($B$2:B40,B40,$E$2:E40,E40,$D$2:D40,D40)=2,
          INDEX([1]DB!$B:$B,MATCH($E40,[1]DB!$D:$D,0)),
          INDEX([1]DB!$C:$C,MATCH($E40,[1]DB!$D:$D,0))
        )
      ),
      IF(
        COUNTIFS($C$2:C40,C40,$E$2:E40,E40,$D$2:D40,D40)=1,
        INDEX([1]DB!$A:$A,MATCH($E40,[1]DB!$D:$D,0)),
        IF(
          COUNTIFS($C$2:C40,C40,$E$2:E40,E40,$D$2:D40,D40)=2,
          INDEX([1]DB!$B:$B,MATCH($E40,[1]DB!$D:$D,0)),
          INDEX([1]DB!$C:$C,MATCH($E40,[1]DB!$D:$D,0))
        )
      )
    )
  ),
  0
)</f>
        <v>0</v>
      </c>
      <c r="O40" s="5" t="str">
        <f>IF(DAY(A40)&lt;=15,UPPER(LEFT(TEXT(A40,"mmmm"),1))&amp;RIGHT(TEXT(A40,"mmmm"),LEN(TEXT(A40,"mmmm"))-1),UPPER(LEFT(TEXT(DATE(YEAR(A40),MONTH(A40)+1,1),"mmmm"),1))&amp;RIGHT(TEXT(DATE(YEAR(A40),MONTH(A40)+1,1),"mmmm"),LEN(TEXT(DATE(YEAR(A40),MONTH(A40)+1,1),"mmmm"))-1))</f>
        <v>Mars</v>
      </c>
      <c r="P40" s="6" t="str">
        <f ca="1">IF(AND(A40&lt;=TODAY(),F40&lt;&gt;""),"OK","NON")</f>
        <v>OK</v>
      </c>
    </row>
    <row r="41" spans="1:16">
      <c r="A41" s="4">
        <v>46079</v>
      </c>
      <c r="B41" s="5" t="s">
        <v>82</v>
      </c>
      <c r="C41" s="5" t="s">
        <v>83</v>
      </c>
      <c r="D41" s="6" t="s">
        <v>14</v>
      </c>
      <c r="E41" s="6" t="s">
        <v>15</v>
      </c>
      <c r="F41" s="7">
        <v>7.26</v>
      </c>
      <c r="G41" s="8" cm="1">
        <f t="array" ref="G41">IFERROR(
  IF(D41&lt;&gt;"Cédric",
     0,
     SUMPRODUCT(
       (TRIM(SUBSTITUTE(UPPER($B$2:$B41),CHAR(160),""))=TRIM(SUBSTITUTE(UPPER(B41),CHAR(160),"")))*
       (TRIM(SUBSTITUTE(UPPER($C$2:$C41),CHAR(160),""))=TRIM(SUBSTITUTE(UPPER(C41),CHAR(160),"")))*
       (TRIM(SUBSTITUTE(UPPER($D$2:$D41),CHAR(160),""))=TRIM(SUBSTITUTE(UPPER(D41),CHAR(160),"")))*
       (TRIM(SUBSTITUTE(UPPER($E$2:$E41),CHAR(160),""))=TRIM(SUBSTITUTE(UPPER(E41),CHAR(160),"")))
     )
  ),
  0
)</f>
        <v>1</v>
      </c>
      <c r="H41" s="8" cm="1">
        <f t="array" ref="H41">IFERROR(
  IF(D41&lt;&gt;"Geoffroy",
     0,
     SUMPRODUCT(
       (TRIM(SUBSTITUTE(UPPER($B$2:$B41),CHAR(160),""))=TRIM(SUBSTITUTE(UPPER(B41),CHAR(160),"")))*
       (TRIM(SUBSTITUTE(UPPER($C$2:$C41),CHAR(160),""))=TRIM(SUBSTITUTE(UPPER(C41),CHAR(160),"")))*
       (TRIM(SUBSTITUTE(UPPER($D$2:$D41),CHAR(160),""))=TRIM(SUBSTITUTE(UPPER(D41),CHAR(160),"")))*
       (TRIM(SUBSTITUTE(UPPER($E$2:$E41),CHAR(160),""))=TRIM(SUBSTITUTE(UPPER(E41),CHAR(160),"")))
     )
  ),
  0
)</f>
        <v>0</v>
      </c>
      <c r="I41" s="8" cm="1">
        <f t="array" ref="I41">IFERROR(
  IF(D41&lt;&gt;"Tiphaine",
     0,
     SUMPRODUCT(
       (TRIM(SUBSTITUTE(UPPER($B$2:$B41),CHAR(160),""))=TRIM(SUBSTITUTE(UPPER(B41),CHAR(160),"")))*
       (TRIM(SUBSTITUTE(UPPER($C$2:$C41),CHAR(160),""))=TRIM(SUBSTITUTE(UPPER(C41),CHAR(160),"")))*
       (TRIM(SUBSTITUTE(UPPER($D$2:$D41),CHAR(160),""))=TRIM(SUBSTITUTE(UPPER(D41),CHAR(160),"")))*
       (TRIM(SUBSTITUTE(UPPER($E$2:$E41),CHAR(160),""))=TRIM(SUBSTITUTE(UPPER(E41),CHAR(160),"")))
     )
  ),
  0
)</f>
        <v>0</v>
      </c>
      <c r="J41" s="8" cm="1">
        <f t="array" ref="J41">IFERROR(
  IF(D41&lt;&gt;"Catherine",
     0,
     SUMPRODUCT(
       (TRIM(SUBSTITUTE(UPPER($B$2:$B41),CHAR(160),""))=TRIM(SUBSTITUTE(UPPER(B41),CHAR(160),"")))*
       (TRIM(SUBSTITUTE(UPPER($C$2:$C41),CHAR(160),""))=TRIM(SUBSTITUTE(UPPER(C41),CHAR(160),"")))*
       (TRIM(SUBSTITUTE(UPPER($D$2:$D41),CHAR(160),""))=TRIM(SUBSTITUTE(UPPER(D41),CHAR(160),"")))*
       (TRIM(SUBSTITUTE(UPPER($E$2:$E41),CHAR(160),""))=TRIM(SUBSTITUTE(UPPER(E41),CHAR(160),"")))
     )
  ),
  0
)</f>
        <v>0</v>
      </c>
      <c r="K41" s="9">
        <f>IFERROR(
  IF(
    D41&lt;&gt;"Cédric",
    0,
    IF(
      C41="",
      IF(
        COUNTIFS($B$2:B41,B41,$E$2:E41,E41,$D$2:D41,D41)=1,
        INDEX([1]DB!$A:$A,MATCH($E41,[1]DB!$D:$D,0)),
        IF(
          COUNTIFS($B$2:B41,B41,$E$2:E41,E41,$D$2:D41,D41)=2,
          INDEX([1]DB!$B:$B,MATCH($E41,[1]DB!$D:$D,0)),
          INDEX([1]DB!$C:$C,MATCH($E41,[1]DB!$D:$D,0))
        )
      ),
      IF(
        COUNTIFS($C$2:C41,C41,$E$2:E41,E41,$D$2:D41,D41)=1,
        INDEX([1]DB!$A:$A,MATCH($E41,[1]DB!$D:$D,0)),
        IF(
          COUNTIFS($C$2:C41,C41,$E$2:E41,E41,$D$2:D41,D41)=2,
          INDEX([1]DB!$B:$B,MATCH($E41,[1]DB!$D:$D,0)),
          INDEX([1]DB!$C:$C,MATCH($E41,[1]DB!$D:$D,0))
        )
      )
    )
  ),
  0
)</f>
        <v>75</v>
      </c>
      <c r="L41" s="9">
        <f>IFERROR(
  IF(
    D41&lt;&gt;"Geoffroy",
    0,
    IF(
      C41="",
      IF(
        COUNTIFS($B$2:B41,B41,$E$2:E41,E41,$D$2:D41,D41)=1,
        INDEX([1]DB!$A:$A,MATCH($E41,[1]DB!$D:$D,0)),
        IF(
          COUNTIFS($B$2:B41,B41,$E$2:E41,E41,$D$2:D41,D41)=2,
          INDEX([1]DB!$B:$B,MATCH($E41,[1]DB!$D:$D,0)),
          INDEX([1]DB!$C:$C,MATCH($E41,[1]DB!$D:$D,0))
        )
      ),
      IF(
        COUNTIFS($C$2:C41,C41,$E$2:E41,E41,$D$2:D41,D41)=1,
        INDEX([1]DB!$A:$A,MATCH($E41,[1]DB!$D:$D,0)),
        IF(
          COUNTIFS($C$2:C41,C41,$E$2:E41,E41,$D$2:D41,D41)=2,
          INDEX([1]DB!$B:$B,MATCH($E41,[1]DB!$D:$D,0)),
          INDEX([1]DB!$C:$C,MATCH($E41,[1]DB!$D:$D,0))
        )
      )
    )
  ),
  0
)</f>
        <v>0</v>
      </c>
      <c r="M41" s="9">
        <f>IFERROR(
  IF(
    D41&lt;&gt;"Tiphaine",
    0,
    IF(
      C41="",
      IF(
        COUNTIFS($B$2:B41,B41,$E$2:E41,E41,$D$2:D41,D41)=1,
        INDEX([1]DB!$A:$A,MATCH($E41,[1]DB!$D:$D,0)),
        IF(
          COUNTIFS($B$2:B41,B41,$E$2:E41,E41,$D$2:D41,D41)=2,
          INDEX([1]DB!$B:$B,MATCH($E41,[1]DB!$D:$D,0)),
          INDEX([1]DB!$C:$C,MATCH($E41,[1]DB!$D:$D,0))
        )
      ),
      IF(
        COUNTIFS($C$2:C41,C41,$E$2:E41,E41,$D$2:D41,D41)=1,
        INDEX([1]DB!$A:$A,MATCH($E41,[1]DB!$D:$D,0)),
        IF(
          COUNTIFS($C$2:C41,C41,$E$2:E41,E41,$D$2:D41,D41)=2,
          INDEX([1]DB!$B:$B,MATCH($E41,[1]DB!$D:$D,0)),
          INDEX([1]DB!$C:$C,MATCH($E41,[1]DB!$D:$D,0))
        )
      )
    )
  ),
  0
)</f>
        <v>0</v>
      </c>
      <c r="N41" s="9">
        <f>IFERROR(
  IF(
    D41&lt;&gt;"Catherine",
    0,
    IF(
      C41="",
      IF(
        COUNTIFS($B$2:B41,B41,$E$2:E41,E41,$D$2:D41,D41)=1,
        INDEX([1]DB!$A:$A,MATCH($E41,[1]DB!$D:$D,0)),
        IF(
          COUNTIFS($B$2:B41,B41,$E$2:E41,E41,$D$2:D41,D41)=2,
          INDEX([1]DB!$B:$B,MATCH($E41,[1]DB!$D:$D,0)),
          INDEX([1]DB!$C:$C,MATCH($E41,[1]DB!$D:$D,0))
        )
      ),
      IF(
        COUNTIFS($C$2:C41,C41,$E$2:E41,E41,$D$2:D41,D41)=1,
        INDEX([1]DB!$A:$A,MATCH($E41,[1]DB!$D:$D,0)),
        IF(
          COUNTIFS($C$2:C41,C41,$E$2:E41,E41,$D$2:D41,D41)=2,
          INDEX([1]DB!$B:$B,MATCH($E41,[1]DB!$D:$D,0)),
          INDEX([1]DB!$C:$C,MATCH($E41,[1]DB!$D:$D,0))
        )
      )
    )
  ),
  0
)</f>
        <v>0</v>
      </c>
      <c r="O41" s="5" t="str">
        <f>IF(DAY(A41)&lt;=15,UPPER(LEFT(TEXT(A41,"mmmm"),1))&amp;RIGHT(TEXT(A41,"mmmm"),LEN(TEXT(A41,"mmmm"))-1),UPPER(LEFT(TEXT(DATE(YEAR(A41),MONTH(A41)+1,1),"mmmm"),1))&amp;RIGHT(TEXT(DATE(YEAR(A41),MONTH(A41)+1,1),"mmmm"),LEN(TEXT(DATE(YEAR(A41),MONTH(A41)+1,1),"mmmm"))-1))</f>
        <v>Mars</v>
      </c>
      <c r="P41" s="6" t="str">
        <f ca="1">IF(AND(A41&lt;=TODAY(),F41&lt;&gt;""),"OK","NON")</f>
        <v>OK</v>
      </c>
    </row>
    <row r="42" spans="1:16">
      <c r="A42" s="4">
        <v>46083</v>
      </c>
      <c r="B42" s="5" t="s">
        <v>84</v>
      </c>
      <c r="C42" s="5" t="s">
        <v>85</v>
      </c>
      <c r="D42" s="6" t="s">
        <v>14</v>
      </c>
      <c r="E42" s="6" t="s">
        <v>27</v>
      </c>
      <c r="F42" s="7">
        <v>6.67</v>
      </c>
      <c r="G42" s="8" cm="1">
        <f t="array" ref="G42">IFERROR(
  IF(D42&lt;&gt;"Cédric",
     0,
     SUMPRODUCT(
       (TRIM(SUBSTITUTE(UPPER($B$2:$B42),CHAR(160),""))=TRIM(SUBSTITUTE(UPPER(B42),CHAR(160),"")))*
       (TRIM(SUBSTITUTE(UPPER($C$2:$C42),CHAR(160),""))=TRIM(SUBSTITUTE(UPPER(C42),CHAR(160),"")))*
       (TRIM(SUBSTITUTE(UPPER($D$2:$D42),CHAR(160),""))=TRIM(SUBSTITUTE(UPPER(D42),CHAR(160),"")))*
       (TRIM(SUBSTITUTE(UPPER($E$2:$E42),CHAR(160),""))=TRIM(SUBSTITUTE(UPPER(E42),CHAR(160),"")))
     )
  ),
  0
)</f>
        <v>1</v>
      </c>
      <c r="H42" s="8" cm="1">
        <f t="array" ref="H42">IFERROR(
  IF(D42&lt;&gt;"Geoffroy",
     0,
     SUMPRODUCT(
       (TRIM(SUBSTITUTE(UPPER($B$2:$B42),CHAR(160),""))=TRIM(SUBSTITUTE(UPPER(B42),CHAR(160),"")))*
       (TRIM(SUBSTITUTE(UPPER($C$2:$C42),CHAR(160),""))=TRIM(SUBSTITUTE(UPPER(C42),CHAR(160),"")))*
       (TRIM(SUBSTITUTE(UPPER($D$2:$D42),CHAR(160),""))=TRIM(SUBSTITUTE(UPPER(D42),CHAR(160),"")))*
       (TRIM(SUBSTITUTE(UPPER($E$2:$E42),CHAR(160),""))=TRIM(SUBSTITUTE(UPPER(E42),CHAR(160),"")))
     )
  ),
  0
)</f>
        <v>0</v>
      </c>
      <c r="I42" s="8" cm="1">
        <f t="array" ref="I42">IFERROR(
  IF(D42&lt;&gt;"Tiphaine",
     0,
     SUMPRODUCT(
       (TRIM(SUBSTITUTE(UPPER($B$2:$B42),CHAR(160),""))=TRIM(SUBSTITUTE(UPPER(B42),CHAR(160),"")))*
       (TRIM(SUBSTITUTE(UPPER($C$2:$C42),CHAR(160),""))=TRIM(SUBSTITUTE(UPPER(C42),CHAR(160),"")))*
       (TRIM(SUBSTITUTE(UPPER($D$2:$D42),CHAR(160),""))=TRIM(SUBSTITUTE(UPPER(D42),CHAR(160),"")))*
       (TRIM(SUBSTITUTE(UPPER($E$2:$E42),CHAR(160),""))=TRIM(SUBSTITUTE(UPPER(E42),CHAR(160),"")))
     )
  ),
  0
)</f>
        <v>0</v>
      </c>
      <c r="J42" s="8" cm="1">
        <f t="array" ref="J42">IFERROR(
  IF(D42&lt;&gt;"Catherine",
     0,
     SUMPRODUCT(
       (TRIM(SUBSTITUTE(UPPER($B$2:$B42),CHAR(160),""))=TRIM(SUBSTITUTE(UPPER(B42),CHAR(160),"")))*
       (TRIM(SUBSTITUTE(UPPER($C$2:$C42),CHAR(160),""))=TRIM(SUBSTITUTE(UPPER(C42),CHAR(160),"")))*
       (TRIM(SUBSTITUTE(UPPER($D$2:$D42),CHAR(160),""))=TRIM(SUBSTITUTE(UPPER(D42),CHAR(160),"")))*
       (TRIM(SUBSTITUTE(UPPER($E$2:$E42),CHAR(160),""))=TRIM(SUBSTITUTE(UPPER(E42),CHAR(160),"")))
     )
  ),
  0
)</f>
        <v>0</v>
      </c>
      <c r="K42" s="9">
        <f>IFERROR(
  IF(
    D42&lt;&gt;"Cédric",
    0,
    IF(
      C42="",
      IF(
        COUNTIFS($B$2:B42,B42,$E$2:E42,E42,$D$2:D42,D42)=1,
        INDEX([1]DB!$A:$A,MATCH($E42,[1]DB!$D:$D,0)),
        IF(
          COUNTIFS($B$2:B42,B42,$E$2:E42,E42,$D$2:D42,D42)=2,
          INDEX([1]DB!$B:$B,MATCH($E42,[1]DB!$D:$D,0)),
          INDEX([1]DB!$C:$C,MATCH($E42,[1]DB!$D:$D,0))
        )
      ),
      IF(
        COUNTIFS($C$2:C42,C42,$E$2:E42,E42,$D$2:D42,D42)=1,
        INDEX([1]DB!$A:$A,MATCH($E42,[1]DB!$D:$D,0)),
        IF(
          COUNTIFS($C$2:C42,C42,$E$2:E42,E42,$D$2:D42,D42)=2,
          INDEX([1]DB!$B:$B,MATCH($E42,[1]DB!$D:$D,0)),
          INDEX([1]DB!$C:$C,MATCH($E42,[1]DB!$D:$D,0))
        )
      )
    )
  ),
  0
)</f>
        <v>75</v>
      </c>
      <c r="L42" s="9">
        <f>IFERROR(
  IF(
    D42&lt;&gt;"Geoffroy",
    0,
    IF(
      C42="",
      IF(
        COUNTIFS($B$2:B42,B42,$E$2:E42,E42,$D$2:D42,D42)=1,
        INDEX([1]DB!$A:$A,MATCH($E42,[1]DB!$D:$D,0)),
        IF(
          COUNTIFS($B$2:B42,B42,$E$2:E42,E42,$D$2:D42,D42)=2,
          INDEX([1]DB!$B:$B,MATCH($E42,[1]DB!$D:$D,0)),
          INDEX([1]DB!$C:$C,MATCH($E42,[1]DB!$D:$D,0))
        )
      ),
      IF(
        COUNTIFS($C$2:C42,C42,$E$2:E42,E42,$D$2:D42,D42)=1,
        INDEX([1]DB!$A:$A,MATCH($E42,[1]DB!$D:$D,0)),
        IF(
          COUNTIFS($C$2:C42,C42,$E$2:E42,E42,$D$2:D42,D42)=2,
          INDEX([1]DB!$B:$B,MATCH($E42,[1]DB!$D:$D,0)),
          INDEX([1]DB!$C:$C,MATCH($E42,[1]DB!$D:$D,0))
        )
      )
    )
  ),
  0
)</f>
        <v>0</v>
      </c>
      <c r="M42" s="9">
        <f>IFERROR(
  IF(
    D42&lt;&gt;"Tiphaine",
    0,
    IF(
      C42="",
      IF(
        COUNTIFS($B$2:B42,B42,$E$2:E42,E42,$D$2:D42,D42)=1,
        INDEX([1]DB!$A:$A,MATCH($E42,[1]DB!$D:$D,0)),
        IF(
          COUNTIFS($B$2:B42,B42,$E$2:E42,E42,$D$2:D42,D42)=2,
          INDEX([1]DB!$B:$B,MATCH($E42,[1]DB!$D:$D,0)),
          INDEX([1]DB!$C:$C,MATCH($E42,[1]DB!$D:$D,0))
        )
      ),
      IF(
        COUNTIFS($C$2:C42,C42,$E$2:E42,E42,$D$2:D42,D42)=1,
        INDEX([1]DB!$A:$A,MATCH($E42,[1]DB!$D:$D,0)),
        IF(
          COUNTIFS($C$2:C42,C42,$E$2:E42,E42,$D$2:D42,D42)=2,
          INDEX([1]DB!$B:$B,MATCH($E42,[1]DB!$D:$D,0)),
          INDEX([1]DB!$C:$C,MATCH($E42,[1]DB!$D:$D,0))
        )
      )
    )
  ),
  0
)</f>
        <v>0</v>
      </c>
      <c r="N42" s="9">
        <f>IFERROR(
  IF(
    D42&lt;&gt;"Catherine",
    0,
    IF(
      C42="",
      IF(
        COUNTIFS($B$2:B42,B42,$E$2:E42,E42,$D$2:D42,D42)=1,
        INDEX([1]DB!$A:$A,MATCH($E42,[1]DB!$D:$D,0)),
        IF(
          COUNTIFS($B$2:B42,B42,$E$2:E42,E42,$D$2:D42,D42)=2,
          INDEX([1]DB!$B:$B,MATCH($E42,[1]DB!$D:$D,0)),
          INDEX([1]DB!$C:$C,MATCH($E42,[1]DB!$D:$D,0))
        )
      ),
      IF(
        COUNTIFS($C$2:C42,C42,$E$2:E42,E42,$D$2:D42,D42)=1,
        INDEX([1]DB!$A:$A,MATCH($E42,[1]DB!$D:$D,0)),
        IF(
          COUNTIFS($C$2:C42,C42,$E$2:E42,E42,$D$2:D42,D42)=2,
          INDEX([1]DB!$B:$B,MATCH($E42,[1]DB!$D:$D,0)),
          INDEX([1]DB!$C:$C,MATCH($E42,[1]DB!$D:$D,0))
        )
      )
    )
  ),
  0
)</f>
        <v>0</v>
      </c>
      <c r="O42" s="5" t="str">
        <f>IF(DAY(A42)&lt;=15,UPPER(LEFT(TEXT(A42,"mmmm"),1))&amp;RIGHT(TEXT(A42,"mmmm"),LEN(TEXT(A42,"mmmm"))-1),UPPER(LEFT(TEXT(DATE(YEAR(A42),MONTH(A42)+1,1),"mmmm"),1))&amp;RIGHT(TEXT(DATE(YEAR(A42),MONTH(A42)+1,1),"mmmm"),LEN(TEXT(DATE(YEAR(A42),MONTH(A42)+1,1),"mmmm"))-1))</f>
        <v>Mars</v>
      </c>
      <c r="P42" s="6" t="str">
        <f ca="1">IF(AND(A42&lt;=TODAY(),F42&lt;&gt;""),"OK","NON")</f>
        <v>OK</v>
      </c>
    </row>
    <row r="43" spans="1:16">
      <c r="A43" s="4">
        <v>46084</v>
      </c>
      <c r="B43" s="5" t="s">
        <v>86</v>
      </c>
      <c r="C43" s="5" t="s">
        <v>87</v>
      </c>
      <c r="D43" s="6" t="s">
        <v>14</v>
      </c>
      <c r="E43" s="6" t="s">
        <v>27</v>
      </c>
      <c r="F43" s="7">
        <v>3.83</v>
      </c>
      <c r="G43" s="8" cm="1">
        <f t="array" ref="G43">IFERROR(
  IF(D43&lt;&gt;"Cédric",
     0,
     SUMPRODUCT(
       (TRIM(SUBSTITUTE(UPPER($B$2:$B43),CHAR(160),""))=TRIM(SUBSTITUTE(UPPER(B43),CHAR(160),"")))*
       (TRIM(SUBSTITUTE(UPPER($C$2:$C43),CHAR(160),""))=TRIM(SUBSTITUTE(UPPER(C43),CHAR(160),"")))*
       (TRIM(SUBSTITUTE(UPPER($D$2:$D43),CHAR(160),""))=TRIM(SUBSTITUTE(UPPER(D43),CHAR(160),"")))*
       (TRIM(SUBSTITUTE(UPPER($E$2:$E43),CHAR(160),""))=TRIM(SUBSTITUTE(UPPER(E43),CHAR(160),"")))
     )
  ),
  0
)</f>
        <v>1</v>
      </c>
      <c r="H43" s="8" cm="1">
        <f t="array" ref="H43">IFERROR(
  IF(D43&lt;&gt;"Geoffroy",
     0,
     SUMPRODUCT(
       (TRIM(SUBSTITUTE(UPPER($B$2:$B43),CHAR(160),""))=TRIM(SUBSTITUTE(UPPER(B43),CHAR(160),"")))*
       (TRIM(SUBSTITUTE(UPPER($C$2:$C43),CHAR(160),""))=TRIM(SUBSTITUTE(UPPER(C43),CHAR(160),"")))*
       (TRIM(SUBSTITUTE(UPPER($D$2:$D43),CHAR(160),""))=TRIM(SUBSTITUTE(UPPER(D43),CHAR(160),"")))*
       (TRIM(SUBSTITUTE(UPPER($E$2:$E43),CHAR(160),""))=TRIM(SUBSTITUTE(UPPER(E43),CHAR(160),"")))
     )
  ),
  0
)</f>
        <v>0</v>
      </c>
      <c r="I43" s="8" cm="1">
        <f t="array" ref="I43">IFERROR(
  IF(D43&lt;&gt;"Tiphaine",
     0,
     SUMPRODUCT(
       (TRIM(SUBSTITUTE(UPPER($B$2:$B43),CHAR(160),""))=TRIM(SUBSTITUTE(UPPER(B43),CHAR(160),"")))*
       (TRIM(SUBSTITUTE(UPPER($C$2:$C43),CHAR(160),""))=TRIM(SUBSTITUTE(UPPER(C43),CHAR(160),"")))*
       (TRIM(SUBSTITUTE(UPPER($D$2:$D43),CHAR(160),""))=TRIM(SUBSTITUTE(UPPER(D43),CHAR(160),"")))*
       (TRIM(SUBSTITUTE(UPPER($E$2:$E43),CHAR(160),""))=TRIM(SUBSTITUTE(UPPER(E43),CHAR(160),"")))
     )
  ),
  0
)</f>
        <v>0</v>
      </c>
      <c r="J43" s="8" cm="1">
        <f t="array" ref="J43">IFERROR(
  IF(D43&lt;&gt;"Catherine",
     0,
     SUMPRODUCT(
       (TRIM(SUBSTITUTE(UPPER($B$2:$B43),CHAR(160),""))=TRIM(SUBSTITUTE(UPPER(B43),CHAR(160),"")))*
       (TRIM(SUBSTITUTE(UPPER($C$2:$C43),CHAR(160),""))=TRIM(SUBSTITUTE(UPPER(C43),CHAR(160),"")))*
       (TRIM(SUBSTITUTE(UPPER($D$2:$D43),CHAR(160),""))=TRIM(SUBSTITUTE(UPPER(D43),CHAR(160),"")))*
       (TRIM(SUBSTITUTE(UPPER($E$2:$E43),CHAR(160),""))=TRIM(SUBSTITUTE(UPPER(E43),CHAR(160),"")))
     )
  ),
  0
)</f>
        <v>0</v>
      </c>
      <c r="K43" s="9">
        <f>IFERROR(
  IF(
    D43&lt;&gt;"Cédric",
    0,
    IF(
      C43="",
      IF(
        COUNTIFS($B$2:B43,B43,$E$2:E43,E43,$D$2:D43,D43)=1,
        INDEX([1]DB!$A:$A,MATCH($E43,[1]DB!$D:$D,0)),
        IF(
          COUNTIFS($B$2:B43,B43,$E$2:E43,E43,$D$2:D43,D43)=2,
          INDEX([1]DB!$B:$B,MATCH($E43,[1]DB!$D:$D,0)),
          INDEX([1]DB!$C:$C,MATCH($E43,[1]DB!$D:$D,0))
        )
      ),
      IF(
        COUNTIFS($C$2:C43,C43,$E$2:E43,E43,$D$2:D43,D43)=1,
        INDEX([1]DB!$A:$A,MATCH($E43,[1]DB!$D:$D,0)),
        IF(
          COUNTIFS($C$2:C43,C43,$E$2:E43,E43,$D$2:D43,D43)=2,
          INDEX([1]DB!$B:$B,MATCH($E43,[1]DB!$D:$D,0)),
          INDEX([1]DB!$C:$C,MATCH($E43,[1]DB!$D:$D,0))
        )
      )
    )
  ),
  0
)</f>
        <v>75</v>
      </c>
      <c r="L43" s="9">
        <f>IFERROR(
  IF(
    D43&lt;&gt;"Geoffroy",
    0,
    IF(
      C43="",
      IF(
        COUNTIFS($B$2:B43,B43,$E$2:E43,E43,$D$2:D43,D43)=1,
        INDEX([1]DB!$A:$A,MATCH($E43,[1]DB!$D:$D,0)),
        IF(
          COUNTIFS($B$2:B43,B43,$E$2:E43,E43,$D$2:D43,D43)=2,
          INDEX([1]DB!$B:$B,MATCH($E43,[1]DB!$D:$D,0)),
          INDEX([1]DB!$C:$C,MATCH($E43,[1]DB!$D:$D,0))
        )
      ),
      IF(
        COUNTIFS($C$2:C43,C43,$E$2:E43,E43,$D$2:D43,D43)=1,
        INDEX([1]DB!$A:$A,MATCH($E43,[1]DB!$D:$D,0)),
        IF(
          COUNTIFS($C$2:C43,C43,$E$2:E43,E43,$D$2:D43,D43)=2,
          INDEX([1]DB!$B:$B,MATCH($E43,[1]DB!$D:$D,0)),
          INDEX([1]DB!$C:$C,MATCH($E43,[1]DB!$D:$D,0))
        )
      )
    )
  ),
  0
)</f>
        <v>0</v>
      </c>
      <c r="M43" s="9">
        <f>IFERROR(
  IF(
    D43&lt;&gt;"Tiphaine",
    0,
    IF(
      C43="",
      IF(
        COUNTIFS($B$2:B43,B43,$E$2:E43,E43,$D$2:D43,D43)=1,
        INDEX([1]DB!$A:$A,MATCH($E43,[1]DB!$D:$D,0)),
        IF(
          COUNTIFS($B$2:B43,B43,$E$2:E43,E43,$D$2:D43,D43)=2,
          INDEX([1]DB!$B:$B,MATCH($E43,[1]DB!$D:$D,0)),
          INDEX([1]DB!$C:$C,MATCH($E43,[1]DB!$D:$D,0))
        )
      ),
      IF(
        COUNTIFS($C$2:C43,C43,$E$2:E43,E43,$D$2:D43,D43)=1,
        INDEX([1]DB!$A:$A,MATCH($E43,[1]DB!$D:$D,0)),
        IF(
          COUNTIFS($C$2:C43,C43,$E$2:E43,E43,$D$2:D43,D43)=2,
          INDEX([1]DB!$B:$B,MATCH($E43,[1]DB!$D:$D,0)),
          INDEX([1]DB!$C:$C,MATCH($E43,[1]DB!$D:$D,0))
        )
      )
    )
  ),
  0
)</f>
        <v>0</v>
      </c>
      <c r="N43" s="9">
        <f>IFERROR(
  IF(
    D43&lt;&gt;"Catherine",
    0,
    IF(
      C43="",
      IF(
        COUNTIFS($B$2:B43,B43,$E$2:E43,E43,$D$2:D43,D43)=1,
        INDEX([1]DB!$A:$A,MATCH($E43,[1]DB!$D:$D,0)),
        IF(
          COUNTIFS($B$2:B43,B43,$E$2:E43,E43,$D$2:D43,D43)=2,
          INDEX([1]DB!$B:$B,MATCH($E43,[1]DB!$D:$D,0)),
          INDEX([1]DB!$C:$C,MATCH($E43,[1]DB!$D:$D,0))
        )
      ),
      IF(
        COUNTIFS($C$2:C43,C43,$E$2:E43,E43,$D$2:D43,D43)=1,
        INDEX([1]DB!$A:$A,MATCH($E43,[1]DB!$D:$D,0)),
        IF(
          COUNTIFS($C$2:C43,C43,$E$2:E43,E43,$D$2:D43,D43)=2,
          INDEX([1]DB!$B:$B,MATCH($E43,[1]DB!$D:$D,0)),
          INDEX([1]DB!$C:$C,MATCH($E43,[1]DB!$D:$D,0))
        )
      )
    )
  ),
  0
)</f>
        <v>0</v>
      </c>
      <c r="O43" s="5" t="str">
        <f>IF(DAY(A43)&lt;=15,UPPER(LEFT(TEXT(A43,"mmmm"),1))&amp;RIGHT(TEXT(A43,"mmmm"),LEN(TEXT(A43,"mmmm"))-1),UPPER(LEFT(TEXT(DATE(YEAR(A43),MONTH(A43)+1,1),"mmmm"),1))&amp;RIGHT(TEXT(DATE(YEAR(A43),MONTH(A43)+1,1),"mmmm"),LEN(TEXT(DATE(YEAR(A43),MONTH(A43)+1,1),"mmmm"))-1))</f>
        <v>Mars</v>
      </c>
      <c r="P43" s="6" t="str">
        <f ca="1">IF(AND(A43&lt;=TODAY(),F43&lt;&gt;""),"OK","NON")</f>
        <v>OK</v>
      </c>
    </row>
    <row r="44" spans="1:16">
      <c r="A44" s="4">
        <v>46084</v>
      </c>
      <c r="B44" s="5" t="s">
        <v>88</v>
      </c>
      <c r="C44" s="5" t="s">
        <v>89</v>
      </c>
      <c r="D44" s="6" t="s">
        <v>14</v>
      </c>
      <c r="E44" s="6" t="s">
        <v>27</v>
      </c>
      <c r="F44" s="7">
        <v>6.67</v>
      </c>
      <c r="G44" s="8" cm="1">
        <f t="array" ref="G44">IFERROR(
  IF(D44&lt;&gt;"Cédric",
     0,
     SUMPRODUCT(
       (TRIM(SUBSTITUTE(UPPER($B$2:$B44),CHAR(160),""))=TRIM(SUBSTITUTE(UPPER(B44),CHAR(160),"")))*
       (TRIM(SUBSTITUTE(UPPER($C$2:$C44),CHAR(160),""))=TRIM(SUBSTITUTE(UPPER(C44),CHAR(160),"")))*
       (TRIM(SUBSTITUTE(UPPER($D$2:$D44),CHAR(160),""))=TRIM(SUBSTITUTE(UPPER(D44),CHAR(160),"")))*
       (TRIM(SUBSTITUTE(UPPER($E$2:$E44),CHAR(160),""))=TRIM(SUBSTITUTE(UPPER(E44),CHAR(160),"")))
     )
  ),
  0
)</f>
        <v>1</v>
      </c>
      <c r="H44" s="8" cm="1">
        <f t="array" ref="H44">IFERROR(
  IF(D44&lt;&gt;"Geoffroy",
     0,
     SUMPRODUCT(
       (TRIM(SUBSTITUTE(UPPER($B$2:$B44),CHAR(160),""))=TRIM(SUBSTITUTE(UPPER(B44),CHAR(160),"")))*
       (TRIM(SUBSTITUTE(UPPER($C$2:$C44),CHAR(160),""))=TRIM(SUBSTITUTE(UPPER(C44),CHAR(160),"")))*
       (TRIM(SUBSTITUTE(UPPER($D$2:$D44),CHAR(160),""))=TRIM(SUBSTITUTE(UPPER(D44),CHAR(160),"")))*
       (TRIM(SUBSTITUTE(UPPER($E$2:$E44),CHAR(160),""))=TRIM(SUBSTITUTE(UPPER(E44),CHAR(160),"")))
     )
  ),
  0
)</f>
        <v>0</v>
      </c>
      <c r="I44" s="8" cm="1">
        <f t="array" ref="I44">IFERROR(
  IF(D44&lt;&gt;"Tiphaine",
     0,
     SUMPRODUCT(
       (TRIM(SUBSTITUTE(UPPER($B$2:$B44),CHAR(160),""))=TRIM(SUBSTITUTE(UPPER(B44),CHAR(160),"")))*
       (TRIM(SUBSTITUTE(UPPER($C$2:$C44),CHAR(160),""))=TRIM(SUBSTITUTE(UPPER(C44),CHAR(160),"")))*
       (TRIM(SUBSTITUTE(UPPER($D$2:$D44),CHAR(160),""))=TRIM(SUBSTITUTE(UPPER(D44),CHAR(160),"")))*
       (TRIM(SUBSTITUTE(UPPER($E$2:$E44),CHAR(160),""))=TRIM(SUBSTITUTE(UPPER(E44),CHAR(160),"")))
     )
  ),
  0
)</f>
        <v>0</v>
      </c>
      <c r="J44" s="8" cm="1">
        <f t="array" ref="J44">IFERROR(
  IF(D44&lt;&gt;"Catherine",
     0,
     SUMPRODUCT(
       (TRIM(SUBSTITUTE(UPPER($B$2:$B44),CHAR(160),""))=TRIM(SUBSTITUTE(UPPER(B44),CHAR(160),"")))*
       (TRIM(SUBSTITUTE(UPPER($C$2:$C44),CHAR(160),""))=TRIM(SUBSTITUTE(UPPER(C44),CHAR(160),"")))*
       (TRIM(SUBSTITUTE(UPPER($D$2:$D44),CHAR(160),""))=TRIM(SUBSTITUTE(UPPER(D44),CHAR(160),"")))*
       (TRIM(SUBSTITUTE(UPPER($E$2:$E44),CHAR(160),""))=TRIM(SUBSTITUTE(UPPER(E44),CHAR(160),"")))
     )
  ),
  0
)</f>
        <v>0</v>
      </c>
      <c r="K44" s="9">
        <f>IFERROR(
  IF(
    D44&lt;&gt;"Cédric",
    0,
    IF(
      C44="",
      IF(
        COUNTIFS($B$2:B44,B44,$E$2:E44,E44,$D$2:D44,D44)=1,
        INDEX([1]DB!$A:$A,MATCH($E44,[1]DB!$D:$D,0)),
        IF(
          COUNTIFS($B$2:B44,B44,$E$2:E44,E44,$D$2:D44,D44)=2,
          INDEX([1]DB!$B:$B,MATCH($E44,[1]DB!$D:$D,0)),
          INDEX([1]DB!$C:$C,MATCH($E44,[1]DB!$D:$D,0))
        )
      ),
      IF(
        COUNTIFS($C$2:C44,C44,$E$2:E44,E44,$D$2:D44,D44)=1,
        INDEX([1]DB!$A:$A,MATCH($E44,[1]DB!$D:$D,0)),
        IF(
          COUNTIFS($C$2:C44,C44,$E$2:E44,E44,$D$2:D44,D44)=2,
          INDEX([1]DB!$B:$B,MATCH($E44,[1]DB!$D:$D,0)),
          INDEX([1]DB!$C:$C,MATCH($E44,[1]DB!$D:$D,0))
        )
      )
    )
  ),
  0
)</f>
        <v>75</v>
      </c>
      <c r="L44" s="9">
        <f>IFERROR(
  IF(
    D44&lt;&gt;"Geoffroy",
    0,
    IF(
      C44="",
      IF(
        COUNTIFS($B$2:B44,B44,$E$2:E44,E44,$D$2:D44,D44)=1,
        INDEX([1]DB!$A:$A,MATCH($E44,[1]DB!$D:$D,0)),
        IF(
          COUNTIFS($B$2:B44,B44,$E$2:E44,E44,$D$2:D44,D44)=2,
          INDEX([1]DB!$B:$B,MATCH($E44,[1]DB!$D:$D,0)),
          INDEX([1]DB!$C:$C,MATCH($E44,[1]DB!$D:$D,0))
        )
      ),
      IF(
        COUNTIFS($C$2:C44,C44,$E$2:E44,E44,$D$2:D44,D44)=1,
        INDEX([1]DB!$A:$A,MATCH($E44,[1]DB!$D:$D,0)),
        IF(
          COUNTIFS($C$2:C44,C44,$E$2:E44,E44,$D$2:D44,D44)=2,
          INDEX([1]DB!$B:$B,MATCH($E44,[1]DB!$D:$D,0)),
          INDEX([1]DB!$C:$C,MATCH($E44,[1]DB!$D:$D,0))
        )
      )
    )
  ),
  0
)</f>
        <v>0</v>
      </c>
      <c r="M44" s="9">
        <f>IFERROR(
  IF(
    D44&lt;&gt;"Tiphaine",
    0,
    IF(
      C44="",
      IF(
        COUNTIFS($B$2:B44,B44,$E$2:E44,E44,$D$2:D44,D44)=1,
        INDEX([1]DB!$A:$A,MATCH($E44,[1]DB!$D:$D,0)),
        IF(
          COUNTIFS($B$2:B44,B44,$E$2:E44,E44,$D$2:D44,D44)=2,
          INDEX([1]DB!$B:$B,MATCH($E44,[1]DB!$D:$D,0)),
          INDEX([1]DB!$C:$C,MATCH($E44,[1]DB!$D:$D,0))
        )
      ),
      IF(
        COUNTIFS($C$2:C44,C44,$E$2:E44,E44,$D$2:D44,D44)=1,
        INDEX([1]DB!$A:$A,MATCH($E44,[1]DB!$D:$D,0)),
        IF(
          COUNTIFS($C$2:C44,C44,$E$2:E44,E44,$D$2:D44,D44)=2,
          INDEX([1]DB!$B:$B,MATCH($E44,[1]DB!$D:$D,0)),
          INDEX([1]DB!$C:$C,MATCH($E44,[1]DB!$D:$D,0))
        )
      )
    )
  ),
  0
)</f>
        <v>0</v>
      </c>
      <c r="N44" s="9">
        <f>IFERROR(
  IF(
    D44&lt;&gt;"Catherine",
    0,
    IF(
      C44="",
      IF(
        COUNTIFS($B$2:B44,B44,$E$2:E44,E44,$D$2:D44,D44)=1,
        INDEX([1]DB!$A:$A,MATCH($E44,[1]DB!$D:$D,0)),
        IF(
          COUNTIFS($B$2:B44,B44,$E$2:E44,E44,$D$2:D44,D44)=2,
          INDEX([1]DB!$B:$B,MATCH($E44,[1]DB!$D:$D,0)),
          INDEX([1]DB!$C:$C,MATCH($E44,[1]DB!$D:$D,0))
        )
      ),
      IF(
        COUNTIFS($C$2:C44,C44,$E$2:E44,E44,$D$2:D44,D44)=1,
        INDEX([1]DB!$A:$A,MATCH($E44,[1]DB!$D:$D,0)),
        IF(
          COUNTIFS($C$2:C44,C44,$E$2:E44,E44,$D$2:D44,D44)=2,
          INDEX([1]DB!$B:$B,MATCH($E44,[1]DB!$D:$D,0)),
          INDEX([1]DB!$C:$C,MATCH($E44,[1]DB!$D:$D,0))
        )
      )
    )
  ),
  0
)</f>
        <v>0</v>
      </c>
      <c r="O44" s="5" t="str">
        <f>IF(DAY(A44)&lt;=15,UPPER(LEFT(TEXT(A44,"mmmm"),1))&amp;RIGHT(TEXT(A44,"mmmm"),LEN(TEXT(A44,"mmmm"))-1),UPPER(LEFT(TEXT(DATE(YEAR(A44),MONTH(A44)+1,1),"mmmm"),1))&amp;RIGHT(TEXT(DATE(YEAR(A44),MONTH(A44)+1,1),"mmmm"),LEN(TEXT(DATE(YEAR(A44),MONTH(A44)+1,1),"mmmm"))-1))</f>
        <v>Mars</v>
      </c>
      <c r="P44" s="6" t="str">
        <f ca="1">IF(AND(A44&lt;=TODAY(),F44&lt;&gt;""),"OK","NON")</f>
        <v>OK</v>
      </c>
    </row>
    <row r="45" spans="1:16">
      <c r="A45" s="4">
        <v>46086</v>
      </c>
      <c r="B45" s="5" t="s">
        <v>90</v>
      </c>
      <c r="C45" s="5"/>
      <c r="D45" s="6" t="s">
        <v>91</v>
      </c>
      <c r="E45" s="6" t="s">
        <v>27</v>
      </c>
      <c r="F45" s="7">
        <v>8.15</v>
      </c>
      <c r="G45" s="8" cm="1">
        <f t="array" ref="G45">IFERROR(
  IF(D45&lt;&gt;"Cédric",
     0,
     SUMPRODUCT(
       (TRIM(SUBSTITUTE(UPPER($B$2:$B45),CHAR(160),""))=TRIM(SUBSTITUTE(UPPER(B45),CHAR(160),"")))*
       (TRIM(SUBSTITUTE(UPPER($C$2:$C45),CHAR(160),""))=TRIM(SUBSTITUTE(UPPER(C45),CHAR(160),"")))*
       (TRIM(SUBSTITUTE(UPPER($D$2:$D45),CHAR(160),""))=TRIM(SUBSTITUTE(UPPER(D45),CHAR(160),"")))*
       (TRIM(SUBSTITUTE(UPPER($E$2:$E45),CHAR(160),""))=TRIM(SUBSTITUTE(UPPER(E45),CHAR(160),"")))
     )
  ),
  0
)</f>
        <v>0</v>
      </c>
      <c r="H45" s="8" cm="1">
        <f t="array" ref="H45">IFERROR(
  IF(D45&lt;&gt;"Geoffroy",
     0,
     SUMPRODUCT(
       (TRIM(SUBSTITUTE(UPPER($B$2:$B45),CHAR(160),""))=TRIM(SUBSTITUTE(UPPER(B45),CHAR(160),"")))*
       (TRIM(SUBSTITUTE(UPPER($C$2:$C45),CHAR(160),""))=TRIM(SUBSTITUTE(UPPER(C45),CHAR(160),"")))*
       (TRIM(SUBSTITUTE(UPPER($D$2:$D45),CHAR(160),""))=TRIM(SUBSTITUTE(UPPER(D45),CHAR(160),"")))*
       (TRIM(SUBSTITUTE(UPPER($E$2:$E45),CHAR(160),""))=TRIM(SUBSTITUTE(UPPER(E45),CHAR(160),"")))
     )
  ),
  0
)</f>
        <v>1</v>
      </c>
      <c r="I45" s="8" cm="1">
        <f t="array" ref="I45">IFERROR(
  IF(D45&lt;&gt;"Tiphaine",
     0,
     SUMPRODUCT(
       (TRIM(SUBSTITUTE(UPPER($B$2:$B45),CHAR(160),""))=TRIM(SUBSTITUTE(UPPER(B45),CHAR(160),"")))*
       (TRIM(SUBSTITUTE(UPPER($C$2:$C45),CHAR(160),""))=TRIM(SUBSTITUTE(UPPER(C45),CHAR(160),"")))*
       (TRIM(SUBSTITUTE(UPPER($D$2:$D45),CHAR(160),""))=TRIM(SUBSTITUTE(UPPER(D45),CHAR(160),"")))*
       (TRIM(SUBSTITUTE(UPPER($E$2:$E45),CHAR(160),""))=TRIM(SUBSTITUTE(UPPER(E45),CHAR(160),"")))
     )
  ),
  0
)</f>
        <v>0</v>
      </c>
      <c r="J45" s="8" cm="1">
        <f t="array" ref="J45">IFERROR(
  IF(D45&lt;&gt;"Catherine",
     0,
     SUMPRODUCT(
       (TRIM(SUBSTITUTE(UPPER($B$2:$B45),CHAR(160),""))=TRIM(SUBSTITUTE(UPPER(B45),CHAR(160),"")))*
       (TRIM(SUBSTITUTE(UPPER($C$2:$C45),CHAR(160),""))=TRIM(SUBSTITUTE(UPPER(C45),CHAR(160),"")))*
       (TRIM(SUBSTITUTE(UPPER($D$2:$D45),CHAR(160),""))=TRIM(SUBSTITUTE(UPPER(D45),CHAR(160),"")))*
       (TRIM(SUBSTITUTE(UPPER($E$2:$E45),CHAR(160),""))=TRIM(SUBSTITUTE(UPPER(E45),CHAR(160),"")))
     )
  ),
  0
)</f>
        <v>0</v>
      </c>
      <c r="K45" s="9">
        <f>IFERROR(
  IF(
    D45&lt;&gt;"Cédric",
    0,
    IF(
      C45="",
      IF(
        COUNTIFS($B$2:B45,B45,$E$2:E45,E45,$D$2:D45,D45)=1,
        INDEX([1]DB!$A:$A,MATCH($E45,[1]DB!$D:$D,0)),
        IF(
          COUNTIFS($B$2:B45,B45,$E$2:E45,E45,$D$2:D45,D45)=2,
          INDEX([1]DB!$B:$B,MATCH($E45,[1]DB!$D:$D,0)),
          INDEX([1]DB!$C:$C,MATCH($E45,[1]DB!$D:$D,0))
        )
      ),
      IF(
        COUNTIFS($C$2:C45,C45,$E$2:E45,E45,$D$2:D45,D45)=1,
        INDEX([1]DB!$A:$A,MATCH($E45,[1]DB!$D:$D,0)),
        IF(
          COUNTIFS($C$2:C45,C45,$E$2:E45,E45,$D$2:D45,D45)=2,
          INDEX([1]DB!$B:$B,MATCH($E45,[1]DB!$D:$D,0)),
          INDEX([1]DB!$C:$C,MATCH($E45,[1]DB!$D:$D,0))
        )
      )
    )
  ),
  0
)</f>
        <v>0</v>
      </c>
      <c r="L45" s="9">
        <f>IFERROR(
  IF(
    D45&lt;&gt;"Geoffroy",
    0,
    IF(
      C45="",
      IF(
        COUNTIFS($B$2:B45,B45,$E$2:E45,E45,$D$2:D45,D45)=1,
        INDEX([1]DB!$A:$A,MATCH($E45,[1]DB!$D:$D,0)),
        IF(
          COUNTIFS($B$2:B45,B45,$E$2:E45,E45,$D$2:D45,D45)=2,
          INDEX([1]DB!$B:$B,MATCH($E45,[1]DB!$D:$D,0)),
          INDEX([1]DB!$C:$C,MATCH($E45,[1]DB!$D:$D,0))
        )
      ),
      IF(
        COUNTIFS($C$2:C45,C45,$E$2:E45,E45,$D$2:D45,D45)=1,
        INDEX([1]DB!$A:$A,MATCH($E45,[1]DB!$D:$D,0)),
        IF(
          COUNTIFS($C$2:C45,C45,$E$2:E45,E45,$D$2:D45,D45)=2,
          INDEX([1]DB!$B:$B,MATCH($E45,[1]DB!$D:$D,0)),
          INDEX([1]DB!$C:$C,MATCH($E45,[1]DB!$D:$D,0))
        )
      )
    )
  ),
  0
)</f>
        <v>75</v>
      </c>
      <c r="M45" s="9">
        <f>IFERROR(
  IF(
    D45&lt;&gt;"Tiphaine",
    0,
    IF(
      C45="",
      IF(
        COUNTIFS($B$2:B45,B45,$E$2:E45,E45,$D$2:D45,D45)=1,
        INDEX([1]DB!$A:$A,MATCH($E45,[1]DB!$D:$D,0)),
        IF(
          COUNTIFS($B$2:B45,B45,$E$2:E45,E45,$D$2:D45,D45)=2,
          INDEX([1]DB!$B:$B,MATCH($E45,[1]DB!$D:$D,0)),
          INDEX([1]DB!$C:$C,MATCH($E45,[1]DB!$D:$D,0))
        )
      ),
      IF(
        COUNTIFS($C$2:C45,C45,$E$2:E45,E45,$D$2:D45,D45)=1,
        INDEX([1]DB!$A:$A,MATCH($E45,[1]DB!$D:$D,0)),
        IF(
          COUNTIFS($C$2:C45,C45,$E$2:E45,E45,$D$2:D45,D45)=2,
          INDEX([1]DB!$B:$B,MATCH($E45,[1]DB!$D:$D,0)),
          INDEX([1]DB!$C:$C,MATCH($E45,[1]DB!$D:$D,0))
        )
      )
    )
  ),
  0
)</f>
        <v>0</v>
      </c>
      <c r="N45" s="9">
        <f>IFERROR(
  IF(
    D45&lt;&gt;"Catherine",
    0,
    IF(
      C45="",
      IF(
        COUNTIFS($B$2:B45,B45,$E$2:E45,E45,$D$2:D45,D45)=1,
        INDEX([1]DB!$A:$A,MATCH($E45,[1]DB!$D:$D,0)),
        IF(
          COUNTIFS($B$2:B45,B45,$E$2:E45,E45,$D$2:D45,D45)=2,
          INDEX([1]DB!$B:$B,MATCH($E45,[1]DB!$D:$D,0)),
          INDEX([1]DB!$C:$C,MATCH($E45,[1]DB!$D:$D,0))
        )
      ),
      IF(
        COUNTIFS($C$2:C45,C45,$E$2:E45,E45,$D$2:D45,D45)=1,
        INDEX([1]DB!$A:$A,MATCH($E45,[1]DB!$D:$D,0)),
        IF(
          COUNTIFS($C$2:C45,C45,$E$2:E45,E45,$D$2:D45,D45)=2,
          INDEX([1]DB!$B:$B,MATCH($E45,[1]DB!$D:$D,0)),
          INDEX([1]DB!$C:$C,MATCH($E45,[1]DB!$D:$D,0))
        )
      )
    )
  ),
  0
)</f>
        <v>0</v>
      </c>
      <c r="O45" s="5" t="str">
        <f>IF(DAY(A45)&lt;=15,UPPER(LEFT(TEXT(A45,"mmmm"),1))&amp;RIGHT(TEXT(A45,"mmmm"),LEN(TEXT(A45,"mmmm"))-1),UPPER(LEFT(TEXT(DATE(YEAR(A45),MONTH(A45)+1,1),"mmmm"),1))&amp;RIGHT(TEXT(DATE(YEAR(A45),MONTH(A45)+1,1),"mmmm"),LEN(TEXT(DATE(YEAR(A45),MONTH(A45)+1,1),"mmmm"))-1))</f>
        <v>Mars</v>
      </c>
      <c r="P45" s="6" t="str">
        <f ca="1">IF(AND(A45&lt;=TODAY(),F45&lt;&gt;""),"OK","NON")</f>
        <v>OK</v>
      </c>
    </row>
    <row r="46" spans="1:16">
      <c r="A46" s="4">
        <v>46087</v>
      </c>
      <c r="B46" s="5" t="s">
        <v>19</v>
      </c>
      <c r="C46" s="5" t="s">
        <v>20</v>
      </c>
      <c r="D46" s="6" t="s">
        <v>14</v>
      </c>
      <c r="E46" s="6" t="s">
        <v>15</v>
      </c>
      <c r="F46" s="7">
        <v>7.9</v>
      </c>
      <c r="G46" s="8" cm="1">
        <f t="array" ref="G46">IFERROR(
  IF(D46&lt;&gt;"Cédric",
     0,
     SUMPRODUCT(
       (TRIM(SUBSTITUTE(UPPER($B$2:$B46),CHAR(160),""))=TRIM(SUBSTITUTE(UPPER(B46),CHAR(160),"")))*
       (TRIM(SUBSTITUTE(UPPER($C$2:$C46),CHAR(160),""))=TRIM(SUBSTITUTE(UPPER(C46),CHAR(160),"")))*
       (TRIM(SUBSTITUTE(UPPER($D$2:$D46),CHAR(160),""))=TRIM(SUBSTITUTE(UPPER(D46),CHAR(160),"")))*
       (TRIM(SUBSTITUTE(UPPER($E$2:$E46),CHAR(160),""))=TRIM(SUBSTITUTE(UPPER(E46),CHAR(160),"")))
     )
  ),
  0
)</f>
        <v>1</v>
      </c>
      <c r="H46" s="8" cm="1">
        <f t="array" ref="H46">IFERROR(
  IF(D46&lt;&gt;"Geoffroy",
     0,
     SUMPRODUCT(
       (TRIM(SUBSTITUTE(UPPER($B$2:$B46),CHAR(160),""))=TRIM(SUBSTITUTE(UPPER(B46),CHAR(160),"")))*
       (TRIM(SUBSTITUTE(UPPER($C$2:$C46),CHAR(160),""))=TRIM(SUBSTITUTE(UPPER(C46),CHAR(160),"")))*
       (TRIM(SUBSTITUTE(UPPER($D$2:$D46),CHAR(160),""))=TRIM(SUBSTITUTE(UPPER(D46),CHAR(160),"")))*
       (TRIM(SUBSTITUTE(UPPER($E$2:$E46),CHAR(160),""))=TRIM(SUBSTITUTE(UPPER(E46),CHAR(160),"")))
     )
  ),
  0
)</f>
        <v>0</v>
      </c>
      <c r="I46" s="8" cm="1">
        <f t="array" ref="I46">IFERROR(
  IF(D46&lt;&gt;"Tiphaine",
     0,
     SUMPRODUCT(
       (TRIM(SUBSTITUTE(UPPER($B$2:$B46),CHAR(160),""))=TRIM(SUBSTITUTE(UPPER(B46),CHAR(160),"")))*
       (TRIM(SUBSTITUTE(UPPER($C$2:$C46),CHAR(160),""))=TRIM(SUBSTITUTE(UPPER(C46),CHAR(160),"")))*
       (TRIM(SUBSTITUTE(UPPER($D$2:$D46),CHAR(160),""))=TRIM(SUBSTITUTE(UPPER(D46),CHAR(160),"")))*
       (TRIM(SUBSTITUTE(UPPER($E$2:$E46),CHAR(160),""))=TRIM(SUBSTITUTE(UPPER(E46),CHAR(160),"")))
     )
  ),
  0
)</f>
        <v>0</v>
      </c>
      <c r="J46" s="8" cm="1">
        <f t="array" ref="J46">IFERROR(
  IF(D46&lt;&gt;"Catherine",
     0,
     SUMPRODUCT(
       (TRIM(SUBSTITUTE(UPPER($B$2:$B46),CHAR(160),""))=TRIM(SUBSTITUTE(UPPER(B46),CHAR(160),"")))*
       (TRIM(SUBSTITUTE(UPPER($C$2:$C46),CHAR(160),""))=TRIM(SUBSTITUTE(UPPER(C46),CHAR(160),"")))*
       (TRIM(SUBSTITUTE(UPPER($D$2:$D46),CHAR(160),""))=TRIM(SUBSTITUTE(UPPER(D46),CHAR(160),"")))*
       (TRIM(SUBSTITUTE(UPPER($E$2:$E46),CHAR(160),""))=TRIM(SUBSTITUTE(UPPER(E46),CHAR(160),"")))
     )
  ),
  0
)</f>
        <v>0</v>
      </c>
      <c r="K46" s="9">
        <f>IFERROR(
  IF(
    D46&lt;&gt;"Cédric",
    0,
    IF(
      C46="",
      IF(
        COUNTIFS($B$2:B46,B46,$E$2:E46,E46,$D$2:D46,D46)=1,
        INDEX([1]DB!$A:$A,MATCH($E46,[1]DB!$D:$D,0)),
        IF(
          COUNTIFS($B$2:B46,B46,$E$2:E46,E46,$D$2:D46,D46)=2,
          INDEX([1]DB!$B:$B,MATCH($E46,[1]DB!$D:$D,0)),
          INDEX([1]DB!$C:$C,MATCH($E46,[1]DB!$D:$D,0))
        )
      ),
      IF(
        COUNTIFS($C$2:C46,C46,$E$2:E46,E46,$D$2:D46,D46)=1,
        INDEX([1]DB!$A:$A,MATCH($E46,[1]DB!$D:$D,0)),
        IF(
          COUNTIFS($C$2:C46,C46,$E$2:E46,E46,$D$2:D46,D46)=2,
          INDEX([1]DB!$B:$B,MATCH($E46,[1]DB!$D:$D,0)),
          INDEX([1]DB!$C:$C,MATCH($E46,[1]DB!$D:$D,0))
        )
      )
    )
  ),
  0
)</f>
        <v>75</v>
      </c>
      <c r="L46" s="9">
        <f>IFERROR(
  IF(
    D46&lt;&gt;"Geoffroy",
    0,
    IF(
      C46="",
      IF(
        COUNTIFS($B$2:B46,B46,$E$2:E46,E46,$D$2:D46,D46)=1,
        INDEX([1]DB!$A:$A,MATCH($E46,[1]DB!$D:$D,0)),
        IF(
          COUNTIFS($B$2:B46,B46,$E$2:E46,E46,$D$2:D46,D46)=2,
          INDEX([1]DB!$B:$B,MATCH($E46,[1]DB!$D:$D,0)),
          INDEX([1]DB!$C:$C,MATCH($E46,[1]DB!$D:$D,0))
        )
      ),
      IF(
        COUNTIFS($C$2:C46,C46,$E$2:E46,E46,$D$2:D46,D46)=1,
        INDEX([1]DB!$A:$A,MATCH($E46,[1]DB!$D:$D,0)),
        IF(
          COUNTIFS($C$2:C46,C46,$E$2:E46,E46,$D$2:D46,D46)=2,
          INDEX([1]DB!$B:$B,MATCH($E46,[1]DB!$D:$D,0)),
          INDEX([1]DB!$C:$C,MATCH($E46,[1]DB!$D:$D,0))
        )
      )
    )
  ),
  0
)</f>
        <v>0</v>
      </c>
      <c r="M46" s="9">
        <f>IFERROR(
  IF(
    D46&lt;&gt;"Tiphaine",
    0,
    IF(
      C46="",
      IF(
        COUNTIFS($B$2:B46,B46,$E$2:E46,E46,$D$2:D46,D46)=1,
        INDEX([1]DB!$A:$A,MATCH($E46,[1]DB!$D:$D,0)),
        IF(
          COUNTIFS($B$2:B46,B46,$E$2:E46,E46,$D$2:D46,D46)=2,
          INDEX([1]DB!$B:$B,MATCH($E46,[1]DB!$D:$D,0)),
          INDEX([1]DB!$C:$C,MATCH($E46,[1]DB!$D:$D,0))
        )
      ),
      IF(
        COUNTIFS($C$2:C46,C46,$E$2:E46,E46,$D$2:D46,D46)=1,
        INDEX([1]DB!$A:$A,MATCH($E46,[1]DB!$D:$D,0)),
        IF(
          COUNTIFS($C$2:C46,C46,$E$2:E46,E46,$D$2:D46,D46)=2,
          INDEX([1]DB!$B:$B,MATCH($E46,[1]DB!$D:$D,0)),
          INDEX([1]DB!$C:$C,MATCH($E46,[1]DB!$D:$D,0))
        )
      )
    )
  ),
  0
)</f>
        <v>0</v>
      </c>
      <c r="N46" s="9">
        <f>IFERROR(
  IF(
    D46&lt;&gt;"Catherine",
    0,
    IF(
      C46="",
      IF(
        COUNTIFS($B$2:B46,B46,$E$2:E46,E46,$D$2:D46,D46)=1,
        INDEX([1]DB!$A:$A,MATCH($E46,[1]DB!$D:$D,0)),
        IF(
          COUNTIFS($B$2:B46,B46,$E$2:E46,E46,$D$2:D46,D46)=2,
          INDEX([1]DB!$B:$B,MATCH($E46,[1]DB!$D:$D,0)),
          INDEX([1]DB!$C:$C,MATCH($E46,[1]DB!$D:$D,0))
        )
      ),
      IF(
        COUNTIFS($C$2:C46,C46,$E$2:E46,E46,$D$2:D46,D46)=1,
        INDEX([1]DB!$A:$A,MATCH($E46,[1]DB!$D:$D,0)),
        IF(
          COUNTIFS($C$2:C46,C46,$E$2:E46,E46,$D$2:D46,D46)=2,
          INDEX([1]DB!$B:$B,MATCH($E46,[1]DB!$D:$D,0)),
          INDEX([1]DB!$C:$C,MATCH($E46,[1]DB!$D:$D,0))
        )
      )
    )
  ),
  0
)</f>
        <v>0</v>
      </c>
      <c r="O46" s="5" t="str">
        <f>IF(DAY(A46)&lt;=15,UPPER(LEFT(TEXT(A46,"mmmm"),1))&amp;RIGHT(TEXT(A46,"mmmm"),LEN(TEXT(A46,"mmmm"))-1),UPPER(LEFT(TEXT(DATE(YEAR(A46),MONTH(A46)+1,1),"mmmm"),1))&amp;RIGHT(TEXT(DATE(YEAR(A46),MONTH(A46)+1,1),"mmmm"),LEN(TEXT(DATE(YEAR(A46),MONTH(A46)+1,1),"mmmm"))-1))</f>
        <v>Mars</v>
      </c>
      <c r="P46" s="6" t="str">
        <f ca="1">IF(AND(A46&lt;=TODAY(),F46&lt;&gt;""),"OK","NON")</f>
        <v>OK</v>
      </c>
    </row>
    <row r="47" spans="1:16">
      <c r="A47" s="4">
        <v>46087</v>
      </c>
      <c r="B47" s="5" t="s">
        <v>92</v>
      </c>
      <c r="C47" s="5"/>
      <c r="D47" s="6" t="s">
        <v>91</v>
      </c>
      <c r="E47" s="6" t="s">
        <v>15</v>
      </c>
      <c r="F47" s="7">
        <v>7.9</v>
      </c>
      <c r="G47" s="8" cm="1">
        <f t="array" ref="G47">IFERROR(
  IF(D47&lt;&gt;"Cédric",
     0,
     SUMPRODUCT(
       (TRIM(SUBSTITUTE(UPPER($B$2:$B47),CHAR(160),""))=TRIM(SUBSTITUTE(UPPER(B47),CHAR(160),"")))*
       (TRIM(SUBSTITUTE(UPPER($C$2:$C47),CHAR(160),""))=TRIM(SUBSTITUTE(UPPER(C47),CHAR(160),"")))*
       (TRIM(SUBSTITUTE(UPPER($D$2:$D47),CHAR(160),""))=TRIM(SUBSTITUTE(UPPER(D47),CHAR(160),"")))*
       (TRIM(SUBSTITUTE(UPPER($E$2:$E47),CHAR(160),""))=TRIM(SUBSTITUTE(UPPER(E47),CHAR(160),"")))
     )
  ),
  0
)</f>
        <v>0</v>
      </c>
      <c r="H47" s="8" cm="1">
        <f t="array" ref="H47">IFERROR(
  IF(D47&lt;&gt;"Geoffroy",
     0,
     SUMPRODUCT(
       (TRIM(SUBSTITUTE(UPPER($B$2:$B47),CHAR(160),""))=TRIM(SUBSTITUTE(UPPER(B47),CHAR(160),"")))*
       (TRIM(SUBSTITUTE(UPPER($C$2:$C47),CHAR(160),""))=TRIM(SUBSTITUTE(UPPER(C47),CHAR(160),"")))*
       (TRIM(SUBSTITUTE(UPPER($D$2:$D47),CHAR(160),""))=TRIM(SUBSTITUTE(UPPER(D47),CHAR(160),"")))*
       (TRIM(SUBSTITUTE(UPPER($E$2:$E47),CHAR(160),""))=TRIM(SUBSTITUTE(UPPER(E47),CHAR(160),"")))
     )
  ),
  0
)</f>
        <v>1</v>
      </c>
      <c r="I47" s="8" cm="1">
        <f t="array" ref="I47">IFERROR(
  IF(D47&lt;&gt;"Tiphaine",
     0,
     SUMPRODUCT(
       (TRIM(SUBSTITUTE(UPPER($B$2:$B47),CHAR(160),""))=TRIM(SUBSTITUTE(UPPER(B47),CHAR(160),"")))*
       (TRIM(SUBSTITUTE(UPPER($C$2:$C47),CHAR(160),""))=TRIM(SUBSTITUTE(UPPER(C47),CHAR(160),"")))*
       (TRIM(SUBSTITUTE(UPPER($D$2:$D47),CHAR(160),""))=TRIM(SUBSTITUTE(UPPER(D47),CHAR(160),"")))*
       (TRIM(SUBSTITUTE(UPPER($E$2:$E47),CHAR(160),""))=TRIM(SUBSTITUTE(UPPER(E47),CHAR(160),"")))
     )
  ),
  0
)</f>
        <v>0</v>
      </c>
      <c r="J47" s="8" cm="1">
        <f t="array" ref="J47">IFERROR(
  IF(D47&lt;&gt;"Catherine",
     0,
     SUMPRODUCT(
       (TRIM(SUBSTITUTE(UPPER($B$2:$B47),CHAR(160),""))=TRIM(SUBSTITUTE(UPPER(B47),CHAR(160),"")))*
       (TRIM(SUBSTITUTE(UPPER($C$2:$C47),CHAR(160),""))=TRIM(SUBSTITUTE(UPPER(C47),CHAR(160),"")))*
       (TRIM(SUBSTITUTE(UPPER($D$2:$D47),CHAR(160),""))=TRIM(SUBSTITUTE(UPPER(D47),CHAR(160),"")))*
       (TRIM(SUBSTITUTE(UPPER($E$2:$E47),CHAR(160),""))=TRIM(SUBSTITUTE(UPPER(E47),CHAR(160),"")))
     )
  ),
  0
)</f>
        <v>0</v>
      </c>
      <c r="K47" s="9">
        <f>IFERROR(
  IF(
    D47&lt;&gt;"Cédric",
    0,
    IF(
      C47="",
      IF(
        COUNTIFS($B$2:B47,B47,$E$2:E47,E47,$D$2:D47,D47)=1,
        INDEX([1]DB!$A:$A,MATCH($E47,[1]DB!$D:$D,0)),
        IF(
          COUNTIFS($B$2:B47,B47,$E$2:E47,E47,$D$2:D47,D47)=2,
          INDEX([1]DB!$B:$B,MATCH($E47,[1]DB!$D:$D,0)),
          INDEX([1]DB!$C:$C,MATCH($E47,[1]DB!$D:$D,0))
        )
      ),
      IF(
        COUNTIFS($C$2:C47,C47,$E$2:E47,E47,$D$2:D47,D47)=1,
        INDEX([1]DB!$A:$A,MATCH($E47,[1]DB!$D:$D,0)),
        IF(
          COUNTIFS($C$2:C47,C47,$E$2:E47,E47,$D$2:D47,D47)=2,
          INDEX([1]DB!$B:$B,MATCH($E47,[1]DB!$D:$D,0)),
          INDEX([1]DB!$C:$C,MATCH($E47,[1]DB!$D:$D,0))
        )
      )
    )
  ),
  0
)</f>
        <v>0</v>
      </c>
      <c r="L47" s="9">
        <f>IFERROR(
  IF(
    D47&lt;&gt;"Geoffroy",
    0,
    IF(
      C47="",
      IF(
        COUNTIFS($B$2:B47,B47,$E$2:E47,E47,$D$2:D47,D47)=1,
        INDEX([1]DB!$A:$A,MATCH($E47,[1]DB!$D:$D,0)),
        IF(
          COUNTIFS($B$2:B47,B47,$E$2:E47,E47,$D$2:D47,D47)=2,
          INDEX([1]DB!$B:$B,MATCH($E47,[1]DB!$D:$D,0)),
          INDEX([1]DB!$C:$C,MATCH($E47,[1]DB!$D:$D,0))
        )
      ),
      IF(
        COUNTIFS($C$2:C47,C47,$E$2:E47,E47,$D$2:D47,D47)=1,
        INDEX([1]DB!$A:$A,MATCH($E47,[1]DB!$D:$D,0)),
        IF(
          COUNTIFS($C$2:C47,C47,$E$2:E47,E47,$D$2:D47,D47)=2,
          INDEX([1]DB!$B:$B,MATCH($E47,[1]DB!$D:$D,0)),
          INDEX([1]DB!$C:$C,MATCH($E47,[1]DB!$D:$D,0))
        )
      )
    )
  ),
  0
)</f>
        <v>75</v>
      </c>
      <c r="M47" s="9">
        <f>IFERROR(
  IF(
    D47&lt;&gt;"Tiphaine",
    0,
    IF(
      C47="",
      IF(
        COUNTIFS($B$2:B47,B47,$E$2:E47,E47,$D$2:D47,D47)=1,
        INDEX([1]DB!$A:$A,MATCH($E47,[1]DB!$D:$D,0)),
        IF(
          COUNTIFS($B$2:B47,B47,$E$2:E47,E47,$D$2:D47,D47)=2,
          INDEX([1]DB!$B:$B,MATCH($E47,[1]DB!$D:$D,0)),
          INDEX([1]DB!$C:$C,MATCH($E47,[1]DB!$D:$D,0))
        )
      ),
      IF(
        COUNTIFS($C$2:C47,C47,$E$2:E47,E47,$D$2:D47,D47)=1,
        INDEX([1]DB!$A:$A,MATCH($E47,[1]DB!$D:$D,0)),
        IF(
          COUNTIFS($C$2:C47,C47,$E$2:E47,E47,$D$2:D47,D47)=2,
          INDEX([1]DB!$B:$B,MATCH($E47,[1]DB!$D:$D,0)),
          INDEX([1]DB!$C:$C,MATCH($E47,[1]DB!$D:$D,0))
        )
      )
    )
  ),
  0
)</f>
        <v>0</v>
      </c>
      <c r="N47" s="9">
        <f>IFERROR(
  IF(
    D47&lt;&gt;"Catherine",
    0,
    IF(
      C47="",
      IF(
        COUNTIFS($B$2:B47,B47,$E$2:E47,E47,$D$2:D47,D47)=1,
        INDEX([1]DB!$A:$A,MATCH($E47,[1]DB!$D:$D,0)),
        IF(
          COUNTIFS($B$2:B47,B47,$E$2:E47,E47,$D$2:D47,D47)=2,
          INDEX([1]DB!$B:$B,MATCH($E47,[1]DB!$D:$D,0)),
          INDEX([1]DB!$C:$C,MATCH($E47,[1]DB!$D:$D,0))
        )
      ),
      IF(
        COUNTIFS($C$2:C47,C47,$E$2:E47,E47,$D$2:D47,D47)=1,
        INDEX([1]DB!$A:$A,MATCH($E47,[1]DB!$D:$D,0)),
        IF(
          COUNTIFS($C$2:C47,C47,$E$2:E47,E47,$D$2:D47,D47)=2,
          INDEX([1]DB!$B:$B,MATCH($E47,[1]DB!$D:$D,0)),
          INDEX([1]DB!$C:$C,MATCH($E47,[1]DB!$D:$D,0))
        )
      )
    )
  ),
  0
)</f>
        <v>0</v>
      </c>
      <c r="O47" s="5" t="str">
        <f>IF(DAY(A47)&lt;=15,UPPER(LEFT(TEXT(A47,"mmmm"),1))&amp;RIGHT(TEXT(A47,"mmmm"),LEN(TEXT(A47,"mmmm"))-1),UPPER(LEFT(TEXT(DATE(YEAR(A47),MONTH(A47)+1,1),"mmmm"),1))&amp;RIGHT(TEXT(DATE(YEAR(A47),MONTH(A47)+1,1),"mmmm"),LEN(TEXT(DATE(YEAR(A47),MONTH(A47)+1,1),"mmmm"))-1))</f>
        <v>Mars</v>
      </c>
      <c r="P47" s="6" t="str">
        <f ca="1">IF(AND(A47&lt;=TODAY(),F47&lt;&gt;""),"OK","NON")</f>
        <v>OK</v>
      </c>
    </row>
    <row r="48" spans="1:16">
      <c r="A48" s="4">
        <v>46090</v>
      </c>
      <c r="B48" s="5" t="s">
        <v>93</v>
      </c>
      <c r="C48" s="5" t="s">
        <v>94</v>
      </c>
      <c r="D48" s="6" t="s">
        <v>14</v>
      </c>
      <c r="E48" s="6" t="s">
        <v>27</v>
      </c>
      <c r="F48" s="7">
        <v>5.68</v>
      </c>
      <c r="G48" s="8" cm="1">
        <f t="array" ref="G48">IFERROR(
  IF(D48&lt;&gt;"Cédric",
     0,
     SUMPRODUCT(
       (TRIM(SUBSTITUTE(UPPER($B$2:$B48),CHAR(160),""))=TRIM(SUBSTITUTE(UPPER(B48),CHAR(160),"")))*
       (TRIM(SUBSTITUTE(UPPER($C$2:$C48),CHAR(160),""))=TRIM(SUBSTITUTE(UPPER(C48),CHAR(160),"")))*
       (TRIM(SUBSTITUTE(UPPER($D$2:$D48),CHAR(160),""))=TRIM(SUBSTITUTE(UPPER(D48),CHAR(160),"")))*
       (TRIM(SUBSTITUTE(UPPER($E$2:$E48),CHAR(160),""))=TRIM(SUBSTITUTE(UPPER(E48),CHAR(160),"")))
     )
  ),
  0
)</f>
        <v>1</v>
      </c>
      <c r="H48" s="8" cm="1">
        <f t="array" ref="H48">IFERROR(
  IF(D48&lt;&gt;"Geoffroy",
     0,
     SUMPRODUCT(
       (TRIM(SUBSTITUTE(UPPER($B$2:$B48),CHAR(160),""))=TRIM(SUBSTITUTE(UPPER(B48),CHAR(160),"")))*
       (TRIM(SUBSTITUTE(UPPER($C$2:$C48),CHAR(160),""))=TRIM(SUBSTITUTE(UPPER(C48),CHAR(160),"")))*
       (TRIM(SUBSTITUTE(UPPER($D$2:$D48),CHAR(160),""))=TRIM(SUBSTITUTE(UPPER(D48),CHAR(160),"")))*
       (TRIM(SUBSTITUTE(UPPER($E$2:$E48),CHAR(160),""))=TRIM(SUBSTITUTE(UPPER(E48),CHAR(160),"")))
     )
  ),
  0
)</f>
        <v>0</v>
      </c>
      <c r="I48" s="8" cm="1">
        <f t="array" ref="I48">IFERROR(
  IF(D48&lt;&gt;"Tiphaine",
     0,
     SUMPRODUCT(
       (TRIM(SUBSTITUTE(UPPER($B$2:$B48),CHAR(160),""))=TRIM(SUBSTITUTE(UPPER(B48),CHAR(160),"")))*
       (TRIM(SUBSTITUTE(UPPER($C$2:$C48),CHAR(160),""))=TRIM(SUBSTITUTE(UPPER(C48),CHAR(160),"")))*
       (TRIM(SUBSTITUTE(UPPER($D$2:$D48),CHAR(160),""))=TRIM(SUBSTITUTE(UPPER(D48),CHAR(160),"")))*
       (TRIM(SUBSTITUTE(UPPER($E$2:$E48),CHAR(160),""))=TRIM(SUBSTITUTE(UPPER(E48),CHAR(160),"")))
     )
  ),
  0
)</f>
        <v>0</v>
      </c>
      <c r="J48" s="8" cm="1">
        <f t="array" ref="J48">IFERROR(
  IF(D48&lt;&gt;"Catherine",
     0,
     SUMPRODUCT(
       (TRIM(SUBSTITUTE(UPPER($B$2:$B48),CHAR(160),""))=TRIM(SUBSTITUTE(UPPER(B48),CHAR(160),"")))*
       (TRIM(SUBSTITUTE(UPPER($C$2:$C48),CHAR(160),""))=TRIM(SUBSTITUTE(UPPER(C48),CHAR(160),"")))*
       (TRIM(SUBSTITUTE(UPPER($D$2:$D48),CHAR(160),""))=TRIM(SUBSTITUTE(UPPER(D48),CHAR(160),"")))*
       (TRIM(SUBSTITUTE(UPPER($E$2:$E48),CHAR(160),""))=TRIM(SUBSTITUTE(UPPER(E48),CHAR(160),"")))
     )
  ),
  0
)</f>
        <v>0</v>
      </c>
      <c r="K48" s="9">
        <f>IFERROR(
  IF(
    D48&lt;&gt;"Cédric",
    0,
    IF(
      C48="",
      IF(
        COUNTIFS($B$2:B48,B48,$E$2:E48,E48,$D$2:D48,D48)=1,
        INDEX([1]DB!$A:$A,MATCH($E48,[1]DB!$D:$D,0)),
        IF(
          COUNTIFS($B$2:B48,B48,$E$2:E48,E48,$D$2:D48,D48)=2,
          INDEX([1]DB!$B:$B,MATCH($E48,[1]DB!$D:$D,0)),
          INDEX([1]DB!$C:$C,MATCH($E48,[1]DB!$D:$D,0))
        )
      ),
      IF(
        COUNTIFS($C$2:C48,C48,$E$2:E48,E48,$D$2:D48,D48)=1,
        INDEX([1]DB!$A:$A,MATCH($E48,[1]DB!$D:$D,0)),
        IF(
          COUNTIFS($C$2:C48,C48,$E$2:E48,E48,$D$2:D48,D48)=2,
          INDEX([1]DB!$B:$B,MATCH($E48,[1]DB!$D:$D,0)),
          INDEX([1]DB!$C:$C,MATCH($E48,[1]DB!$D:$D,0))
        )
      )
    )
  ),
  0
)</f>
        <v>75</v>
      </c>
      <c r="L48" s="9">
        <f>IFERROR(
  IF(
    D48&lt;&gt;"Geoffroy",
    0,
    IF(
      C48="",
      IF(
        COUNTIFS($B$2:B48,B48,$E$2:E48,E48,$D$2:D48,D48)=1,
        INDEX([1]DB!$A:$A,MATCH($E48,[1]DB!$D:$D,0)),
        IF(
          COUNTIFS($B$2:B48,B48,$E$2:E48,E48,$D$2:D48,D48)=2,
          INDEX([1]DB!$B:$B,MATCH($E48,[1]DB!$D:$D,0)),
          INDEX([1]DB!$C:$C,MATCH($E48,[1]DB!$D:$D,0))
        )
      ),
      IF(
        COUNTIFS($C$2:C48,C48,$E$2:E48,E48,$D$2:D48,D48)=1,
        INDEX([1]DB!$A:$A,MATCH($E48,[1]DB!$D:$D,0)),
        IF(
          COUNTIFS($C$2:C48,C48,$E$2:E48,E48,$D$2:D48,D48)=2,
          INDEX([1]DB!$B:$B,MATCH($E48,[1]DB!$D:$D,0)),
          INDEX([1]DB!$C:$C,MATCH($E48,[1]DB!$D:$D,0))
        )
      )
    )
  ),
  0
)</f>
        <v>0</v>
      </c>
      <c r="M48" s="9">
        <f>IFERROR(
  IF(
    D48&lt;&gt;"Tiphaine",
    0,
    IF(
      C48="",
      IF(
        COUNTIFS($B$2:B48,B48,$E$2:E48,E48,$D$2:D48,D48)=1,
        INDEX([1]DB!$A:$A,MATCH($E48,[1]DB!$D:$D,0)),
        IF(
          COUNTIFS($B$2:B48,B48,$E$2:E48,E48,$D$2:D48,D48)=2,
          INDEX([1]DB!$B:$B,MATCH($E48,[1]DB!$D:$D,0)),
          INDEX([1]DB!$C:$C,MATCH($E48,[1]DB!$D:$D,0))
        )
      ),
      IF(
        COUNTIFS($C$2:C48,C48,$E$2:E48,E48,$D$2:D48,D48)=1,
        INDEX([1]DB!$A:$A,MATCH($E48,[1]DB!$D:$D,0)),
        IF(
          COUNTIFS($C$2:C48,C48,$E$2:E48,E48,$D$2:D48,D48)=2,
          INDEX([1]DB!$B:$B,MATCH($E48,[1]DB!$D:$D,0)),
          INDEX([1]DB!$C:$C,MATCH($E48,[1]DB!$D:$D,0))
        )
      )
    )
  ),
  0
)</f>
        <v>0</v>
      </c>
      <c r="N48" s="9">
        <f>IFERROR(
  IF(
    D48&lt;&gt;"Catherine",
    0,
    IF(
      C48="",
      IF(
        COUNTIFS($B$2:B48,B48,$E$2:E48,E48,$D$2:D48,D48)=1,
        INDEX([1]DB!$A:$A,MATCH($E48,[1]DB!$D:$D,0)),
        IF(
          COUNTIFS($B$2:B48,B48,$E$2:E48,E48,$D$2:D48,D48)=2,
          INDEX([1]DB!$B:$B,MATCH($E48,[1]DB!$D:$D,0)),
          INDEX([1]DB!$C:$C,MATCH($E48,[1]DB!$D:$D,0))
        )
      ),
      IF(
        COUNTIFS($C$2:C48,C48,$E$2:E48,E48,$D$2:D48,D48)=1,
        INDEX([1]DB!$A:$A,MATCH($E48,[1]DB!$D:$D,0)),
        IF(
          COUNTIFS($C$2:C48,C48,$E$2:E48,E48,$D$2:D48,D48)=2,
          INDEX([1]DB!$B:$B,MATCH($E48,[1]DB!$D:$D,0)),
          INDEX([1]DB!$C:$C,MATCH($E48,[1]DB!$D:$D,0))
        )
      )
    )
  ),
  0
)</f>
        <v>0</v>
      </c>
      <c r="O48" s="5" t="str">
        <f>IF(DAY(A48)&lt;=15,UPPER(LEFT(TEXT(A48,"mmmm"),1))&amp;RIGHT(TEXT(A48,"mmmm"),LEN(TEXT(A48,"mmmm"))-1),UPPER(LEFT(TEXT(DATE(YEAR(A48),MONTH(A48)+1,1),"mmmm"),1))&amp;RIGHT(TEXT(DATE(YEAR(A48),MONTH(A48)+1,1),"mmmm"),LEN(TEXT(DATE(YEAR(A48),MONTH(A48)+1,1),"mmmm"))-1))</f>
        <v>Mars</v>
      </c>
      <c r="P48" s="6" t="str">
        <f ca="1">IF(AND(A48&lt;=TODAY(),F48&lt;&gt;""),"OK","NON")</f>
        <v>OK</v>
      </c>
    </row>
    <row r="49" spans="1:16">
      <c r="A49" s="4">
        <v>46090</v>
      </c>
      <c r="B49" s="5" t="s">
        <v>95</v>
      </c>
      <c r="C49" s="5" t="s">
        <v>96</v>
      </c>
      <c r="D49" s="6" t="s">
        <v>91</v>
      </c>
      <c r="E49" s="6" t="s">
        <v>15</v>
      </c>
      <c r="F49" s="7">
        <v>9.35</v>
      </c>
      <c r="G49" s="8" cm="1">
        <f t="array" ref="G49">IFERROR(
  IF(D49&lt;&gt;"Cédric",
     0,
     SUMPRODUCT(
       (TRIM(SUBSTITUTE(UPPER($B$2:$B49),CHAR(160),""))=TRIM(SUBSTITUTE(UPPER(B49),CHAR(160),"")))*
       (TRIM(SUBSTITUTE(UPPER($C$2:$C49),CHAR(160),""))=TRIM(SUBSTITUTE(UPPER(C49),CHAR(160),"")))*
       (TRIM(SUBSTITUTE(UPPER($D$2:$D49),CHAR(160),""))=TRIM(SUBSTITUTE(UPPER(D49),CHAR(160),"")))*
       (TRIM(SUBSTITUTE(UPPER($E$2:$E49),CHAR(160),""))=TRIM(SUBSTITUTE(UPPER(E49),CHAR(160),"")))
     )
  ),
  0
)</f>
        <v>0</v>
      </c>
      <c r="H49" s="8" cm="1">
        <f t="array" ref="H49">IFERROR(
  IF(D49&lt;&gt;"Geoffroy",
     0,
     SUMPRODUCT(
       (TRIM(SUBSTITUTE(UPPER($B$2:$B49),CHAR(160),""))=TRIM(SUBSTITUTE(UPPER(B49),CHAR(160),"")))*
       (TRIM(SUBSTITUTE(UPPER($C$2:$C49),CHAR(160),""))=TRIM(SUBSTITUTE(UPPER(C49),CHAR(160),"")))*
       (TRIM(SUBSTITUTE(UPPER($D$2:$D49),CHAR(160),""))=TRIM(SUBSTITUTE(UPPER(D49),CHAR(160),"")))*
       (TRIM(SUBSTITUTE(UPPER($E$2:$E49),CHAR(160),""))=TRIM(SUBSTITUTE(UPPER(E49),CHAR(160),"")))
     )
  ),
  0
)</f>
        <v>1</v>
      </c>
      <c r="I49" s="8" cm="1">
        <f t="array" ref="I49">IFERROR(
  IF(D49&lt;&gt;"Tiphaine",
     0,
     SUMPRODUCT(
       (TRIM(SUBSTITUTE(UPPER($B$2:$B49),CHAR(160),""))=TRIM(SUBSTITUTE(UPPER(B49),CHAR(160),"")))*
       (TRIM(SUBSTITUTE(UPPER($C$2:$C49),CHAR(160),""))=TRIM(SUBSTITUTE(UPPER(C49),CHAR(160),"")))*
       (TRIM(SUBSTITUTE(UPPER($D$2:$D49),CHAR(160),""))=TRIM(SUBSTITUTE(UPPER(D49),CHAR(160),"")))*
       (TRIM(SUBSTITUTE(UPPER($E$2:$E49),CHAR(160),""))=TRIM(SUBSTITUTE(UPPER(E49),CHAR(160),"")))
     )
  ),
  0
)</f>
        <v>0</v>
      </c>
      <c r="J49" s="8" cm="1">
        <f t="array" ref="J49">IFERROR(
  IF(D49&lt;&gt;"Catherine",
     0,
     SUMPRODUCT(
       (TRIM(SUBSTITUTE(UPPER($B$2:$B49),CHAR(160),""))=TRIM(SUBSTITUTE(UPPER(B49),CHAR(160),"")))*
       (TRIM(SUBSTITUTE(UPPER($C$2:$C49),CHAR(160),""))=TRIM(SUBSTITUTE(UPPER(C49),CHAR(160),"")))*
       (TRIM(SUBSTITUTE(UPPER($D$2:$D49),CHAR(160),""))=TRIM(SUBSTITUTE(UPPER(D49),CHAR(160),"")))*
       (TRIM(SUBSTITUTE(UPPER($E$2:$E49),CHAR(160),""))=TRIM(SUBSTITUTE(UPPER(E49),CHAR(160),"")))
     )
  ),
  0
)</f>
        <v>0</v>
      </c>
      <c r="K49" s="9">
        <f>IFERROR(
  IF(
    D49&lt;&gt;"Cédric",
    0,
    IF(
      C49="",
      IF(
        COUNTIFS($B$2:B49,B49,$E$2:E49,E49,$D$2:D49,D49)=1,
        INDEX([1]DB!$A:$A,MATCH($E49,[1]DB!$D:$D,0)),
        IF(
          COUNTIFS($B$2:B49,B49,$E$2:E49,E49,$D$2:D49,D49)=2,
          INDEX([1]DB!$B:$B,MATCH($E49,[1]DB!$D:$D,0)),
          INDEX([1]DB!$C:$C,MATCH($E49,[1]DB!$D:$D,0))
        )
      ),
      IF(
        COUNTIFS($C$2:C49,C49,$E$2:E49,E49,$D$2:D49,D49)=1,
        INDEX([1]DB!$A:$A,MATCH($E49,[1]DB!$D:$D,0)),
        IF(
          COUNTIFS($C$2:C49,C49,$E$2:E49,E49,$D$2:D49,D49)=2,
          INDEX([1]DB!$B:$B,MATCH($E49,[1]DB!$D:$D,0)),
          INDEX([1]DB!$C:$C,MATCH($E49,[1]DB!$D:$D,0))
        )
      )
    )
  ),
  0
)</f>
        <v>0</v>
      </c>
      <c r="L49" s="9">
        <f>IFERROR(
  IF(
    D49&lt;&gt;"Geoffroy",
    0,
    IF(
      C49="",
      IF(
        COUNTIFS($B$2:B49,B49,$E$2:E49,E49,$D$2:D49,D49)=1,
        INDEX([1]DB!$A:$A,MATCH($E49,[1]DB!$D:$D,0)),
        IF(
          COUNTIFS($B$2:B49,B49,$E$2:E49,E49,$D$2:D49,D49)=2,
          INDEX([1]DB!$B:$B,MATCH($E49,[1]DB!$D:$D,0)),
          INDEX([1]DB!$C:$C,MATCH($E49,[1]DB!$D:$D,0))
        )
      ),
      IF(
        COUNTIFS($C$2:C49,C49,$E$2:E49,E49,$D$2:D49,D49)=1,
        INDEX([1]DB!$A:$A,MATCH($E49,[1]DB!$D:$D,0)),
        IF(
          COUNTIFS($C$2:C49,C49,$E$2:E49,E49,$D$2:D49,D49)=2,
          INDEX([1]DB!$B:$B,MATCH($E49,[1]DB!$D:$D,0)),
          INDEX([1]DB!$C:$C,MATCH($E49,[1]DB!$D:$D,0))
        )
      )
    )
  ),
  0
)</f>
        <v>75</v>
      </c>
      <c r="M49" s="9">
        <f>IFERROR(
  IF(
    D49&lt;&gt;"Tiphaine",
    0,
    IF(
      C49="",
      IF(
        COUNTIFS($B$2:B49,B49,$E$2:E49,E49,$D$2:D49,D49)=1,
        INDEX([1]DB!$A:$A,MATCH($E49,[1]DB!$D:$D,0)),
        IF(
          COUNTIFS($B$2:B49,B49,$E$2:E49,E49,$D$2:D49,D49)=2,
          INDEX([1]DB!$B:$B,MATCH($E49,[1]DB!$D:$D,0)),
          INDEX([1]DB!$C:$C,MATCH($E49,[1]DB!$D:$D,0))
        )
      ),
      IF(
        COUNTIFS($C$2:C49,C49,$E$2:E49,E49,$D$2:D49,D49)=1,
        INDEX([1]DB!$A:$A,MATCH($E49,[1]DB!$D:$D,0)),
        IF(
          COUNTIFS($C$2:C49,C49,$E$2:E49,E49,$D$2:D49,D49)=2,
          INDEX([1]DB!$B:$B,MATCH($E49,[1]DB!$D:$D,0)),
          INDEX([1]DB!$C:$C,MATCH($E49,[1]DB!$D:$D,0))
        )
      )
    )
  ),
  0
)</f>
        <v>0</v>
      </c>
      <c r="N49" s="9">
        <f>IFERROR(
  IF(
    D49&lt;&gt;"Catherine",
    0,
    IF(
      C49="",
      IF(
        COUNTIFS($B$2:B49,B49,$E$2:E49,E49,$D$2:D49,D49)=1,
        INDEX([1]DB!$A:$A,MATCH($E49,[1]DB!$D:$D,0)),
        IF(
          COUNTIFS($B$2:B49,B49,$E$2:E49,E49,$D$2:D49,D49)=2,
          INDEX([1]DB!$B:$B,MATCH($E49,[1]DB!$D:$D,0)),
          INDEX([1]DB!$C:$C,MATCH($E49,[1]DB!$D:$D,0))
        )
      ),
      IF(
        COUNTIFS($C$2:C49,C49,$E$2:E49,E49,$D$2:D49,D49)=1,
        INDEX([1]DB!$A:$A,MATCH($E49,[1]DB!$D:$D,0)),
        IF(
          COUNTIFS($C$2:C49,C49,$E$2:E49,E49,$D$2:D49,D49)=2,
          INDEX([1]DB!$B:$B,MATCH($E49,[1]DB!$D:$D,0)),
          INDEX([1]DB!$C:$C,MATCH($E49,[1]DB!$D:$D,0))
        )
      )
    )
  ),
  0
)</f>
        <v>0</v>
      </c>
      <c r="O49" s="5" t="str">
        <f>IF(DAY(A49)&lt;=15,UPPER(LEFT(TEXT(A49,"mmmm"),1))&amp;RIGHT(TEXT(A49,"mmmm"),LEN(TEXT(A49,"mmmm"))-1),UPPER(LEFT(TEXT(DATE(YEAR(A49),MONTH(A49)+1,1),"mmmm"),1))&amp;RIGHT(TEXT(DATE(YEAR(A49),MONTH(A49)+1,1),"mmmm"),LEN(TEXT(DATE(YEAR(A49),MONTH(A49)+1,1),"mmmm"))-1))</f>
        <v>Mars</v>
      </c>
      <c r="P49" s="6" t="str">
        <f ca="1">IF(AND(A49&lt;=TODAY(),F49&lt;&gt;""),"OK","NON")</f>
        <v>OK</v>
      </c>
    </row>
    <row r="50" spans="1:16">
      <c r="A50" s="4">
        <v>46091</v>
      </c>
      <c r="B50" s="5" t="s">
        <v>93</v>
      </c>
      <c r="C50" s="5" t="s">
        <v>97</v>
      </c>
      <c r="D50" s="6" t="s">
        <v>14</v>
      </c>
      <c r="E50" s="6" t="s">
        <v>15</v>
      </c>
      <c r="F50" s="7">
        <v>5.97</v>
      </c>
      <c r="G50" s="8" cm="1">
        <f t="array" ref="G50">IFERROR(
  IF(D50&lt;&gt;"Cédric",
     0,
     SUMPRODUCT(
       (TRIM(SUBSTITUTE(UPPER($B$2:$B50),CHAR(160),""))=TRIM(SUBSTITUTE(UPPER(B50),CHAR(160),"")))*
       (TRIM(SUBSTITUTE(UPPER($C$2:$C50),CHAR(160),""))=TRIM(SUBSTITUTE(UPPER(C50),CHAR(160),"")))*
       (TRIM(SUBSTITUTE(UPPER($D$2:$D50),CHAR(160),""))=TRIM(SUBSTITUTE(UPPER(D50),CHAR(160),"")))*
       (TRIM(SUBSTITUTE(UPPER($E$2:$E50),CHAR(160),""))=TRIM(SUBSTITUTE(UPPER(E50),CHAR(160),"")))
     )
  ),
  0
)</f>
        <v>1</v>
      </c>
      <c r="H50" s="8" cm="1">
        <f t="array" ref="H50">IFERROR(
  IF(D50&lt;&gt;"Geoffroy",
     0,
     SUMPRODUCT(
       (TRIM(SUBSTITUTE(UPPER($B$2:$B50),CHAR(160),""))=TRIM(SUBSTITUTE(UPPER(B50),CHAR(160),"")))*
       (TRIM(SUBSTITUTE(UPPER($C$2:$C50),CHAR(160),""))=TRIM(SUBSTITUTE(UPPER(C50),CHAR(160),"")))*
       (TRIM(SUBSTITUTE(UPPER($D$2:$D50),CHAR(160),""))=TRIM(SUBSTITUTE(UPPER(D50),CHAR(160),"")))*
       (TRIM(SUBSTITUTE(UPPER($E$2:$E50),CHAR(160),""))=TRIM(SUBSTITUTE(UPPER(E50),CHAR(160),"")))
     )
  ),
  0
)</f>
        <v>0</v>
      </c>
      <c r="I50" s="8" cm="1">
        <f t="array" ref="I50">IFERROR(
  IF(D50&lt;&gt;"Tiphaine",
     0,
     SUMPRODUCT(
       (TRIM(SUBSTITUTE(UPPER($B$2:$B50),CHAR(160),""))=TRIM(SUBSTITUTE(UPPER(B50),CHAR(160),"")))*
       (TRIM(SUBSTITUTE(UPPER($C$2:$C50),CHAR(160),""))=TRIM(SUBSTITUTE(UPPER(C50),CHAR(160),"")))*
       (TRIM(SUBSTITUTE(UPPER($D$2:$D50),CHAR(160),""))=TRIM(SUBSTITUTE(UPPER(D50),CHAR(160),"")))*
       (TRIM(SUBSTITUTE(UPPER($E$2:$E50),CHAR(160),""))=TRIM(SUBSTITUTE(UPPER(E50),CHAR(160),"")))
     )
  ),
  0
)</f>
        <v>0</v>
      </c>
      <c r="J50" s="8" cm="1">
        <f t="array" ref="J50">IFERROR(
  IF(D50&lt;&gt;"Catherine",
     0,
     SUMPRODUCT(
       (TRIM(SUBSTITUTE(UPPER($B$2:$B50),CHAR(160),""))=TRIM(SUBSTITUTE(UPPER(B50),CHAR(160),"")))*
       (TRIM(SUBSTITUTE(UPPER($C$2:$C50),CHAR(160),""))=TRIM(SUBSTITUTE(UPPER(C50),CHAR(160),"")))*
       (TRIM(SUBSTITUTE(UPPER($D$2:$D50),CHAR(160),""))=TRIM(SUBSTITUTE(UPPER(D50),CHAR(160),"")))*
       (TRIM(SUBSTITUTE(UPPER($E$2:$E50),CHAR(160),""))=TRIM(SUBSTITUTE(UPPER(E50),CHAR(160),"")))
     )
  ),
  0
)</f>
        <v>0</v>
      </c>
      <c r="K50" s="9">
        <f>IFERROR(
  IF(
    D50&lt;&gt;"Cédric",
    0,
    IF(
      C50="",
      IF(
        COUNTIFS($B$2:B50,B50,$E$2:E50,E50,$D$2:D50,D50)=1,
        INDEX([1]DB!$A:$A,MATCH($E50,[1]DB!$D:$D,0)),
        IF(
          COUNTIFS($B$2:B50,B50,$E$2:E50,E50,$D$2:D50,D50)=2,
          INDEX([1]DB!$B:$B,MATCH($E50,[1]DB!$D:$D,0)),
          INDEX([1]DB!$C:$C,MATCH($E50,[1]DB!$D:$D,0))
        )
      ),
      IF(
        COUNTIFS($C$2:C50,C50,$E$2:E50,E50,$D$2:D50,D50)=1,
        INDEX([1]DB!$A:$A,MATCH($E50,[1]DB!$D:$D,0)),
        IF(
          COUNTIFS($C$2:C50,C50,$E$2:E50,E50,$D$2:D50,D50)=2,
          INDEX([1]DB!$B:$B,MATCH($E50,[1]DB!$D:$D,0)),
          INDEX([1]DB!$C:$C,MATCH($E50,[1]DB!$D:$D,0))
        )
      )
    )
  ),
  0
)</f>
        <v>75</v>
      </c>
      <c r="L50" s="9">
        <f>IFERROR(
  IF(
    D50&lt;&gt;"Geoffroy",
    0,
    IF(
      C50="",
      IF(
        COUNTIFS($B$2:B50,B50,$E$2:E50,E50,$D$2:D50,D50)=1,
        INDEX([1]DB!$A:$A,MATCH($E50,[1]DB!$D:$D,0)),
        IF(
          COUNTIFS($B$2:B50,B50,$E$2:E50,E50,$D$2:D50,D50)=2,
          INDEX([1]DB!$B:$B,MATCH($E50,[1]DB!$D:$D,0)),
          INDEX([1]DB!$C:$C,MATCH($E50,[1]DB!$D:$D,0))
        )
      ),
      IF(
        COUNTIFS($C$2:C50,C50,$E$2:E50,E50,$D$2:D50,D50)=1,
        INDEX([1]DB!$A:$A,MATCH($E50,[1]DB!$D:$D,0)),
        IF(
          COUNTIFS($C$2:C50,C50,$E$2:E50,E50,$D$2:D50,D50)=2,
          INDEX([1]DB!$B:$B,MATCH($E50,[1]DB!$D:$D,0)),
          INDEX([1]DB!$C:$C,MATCH($E50,[1]DB!$D:$D,0))
        )
      )
    )
  ),
  0
)</f>
        <v>0</v>
      </c>
      <c r="M50" s="9">
        <f>IFERROR(
  IF(
    D50&lt;&gt;"Tiphaine",
    0,
    IF(
      C50="",
      IF(
        COUNTIFS($B$2:B50,B50,$E$2:E50,E50,$D$2:D50,D50)=1,
        INDEX([1]DB!$A:$A,MATCH($E50,[1]DB!$D:$D,0)),
        IF(
          COUNTIFS($B$2:B50,B50,$E$2:E50,E50,$D$2:D50,D50)=2,
          INDEX([1]DB!$B:$B,MATCH($E50,[1]DB!$D:$D,0)),
          INDEX([1]DB!$C:$C,MATCH($E50,[1]DB!$D:$D,0))
        )
      ),
      IF(
        COUNTIFS($C$2:C50,C50,$E$2:E50,E50,$D$2:D50,D50)=1,
        INDEX([1]DB!$A:$A,MATCH($E50,[1]DB!$D:$D,0)),
        IF(
          COUNTIFS($C$2:C50,C50,$E$2:E50,E50,$D$2:D50,D50)=2,
          INDEX([1]DB!$B:$B,MATCH($E50,[1]DB!$D:$D,0)),
          INDEX([1]DB!$C:$C,MATCH($E50,[1]DB!$D:$D,0))
        )
      )
    )
  ),
  0
)</f>
        <v>0</v>
      </c>
      <c r="N50" s="9">
        <f>IFERROR(
  IF(
    D50&lt;&gt;"Catherine",
    0,
    IF(
      C50="",
      IF(
        COUNTIFS($B$2:B50,B50,$E$2:E50,E50,$D$2:D50,D50)=1,
        INDEX([1]DB!$A:$A,MATCH($E50,[1]DB!$D:$D,0)),
        IF(
          COUNTIFS($B$2:B50,B50,$E$2:E50,E50,$D$2:D50,D50)=2,
          INDEX([1]DB!$B:$B,MATCH($E50,[1]DB!$D:$D,0)),
          INDEX([1]DB!$C:$C,MATCH($E50,[1]DB!$D:$D,0))
        )
      ),
      IF(
        COUNTIFS($C$2:C50,C50,$E$2:E50,E50,$D$2:D50,D50)=1,
        INDEX([1]DB!$A:$A,MATCH($E50,[1]DB!$D:$D,0)),
        IF(
          COUNTIFS($C$2:C50,C50,$E$2:E50,E50,$D$2:D50,D50)=2,
          INDEX([1]DB!$B:$B,MATCH($E50,[1]DB!$D:$D,0)),
          INDEX([1]DB!$C:$C,MATCH($E50,[1]DB!$D:$D,0))
        )
      )
    )
  ),
  0
)</f>
        <v>0</v>
      </c>
      <c r="O50" s="5" t="str">
        <f>IF(DAY(A50)&lt;=15,UPPER(LEFT(TEXT(A50,"mmmm"),1))&amp;RIGHT(TEXT(A50,"mmmm"),LEN(TEXT(A50,"mmmm"))-1),UPPER(LEFT(TEXT(DATE(YEAR(A50),MONTH(A50)+1,1),"mmmm"),1))&amp;RIGHT(TEXT(DATE(YEAR(A50),MONTH(A50)+1,1),"mmmm"),LEN(TEXT(DATE(YEAR(A50),MONTH(A50)+1,1),"mmmm"))-1))</f>
        <v>Mars</v>
      </c>
      <c r="P50" s="6" t="str">
        <f ca="1">IF(AND(A50&lt;=TODAY(),F50&lt;&gt;""),"OK","NON")</f>
        <v>OK</v>
      </c>
    </row>
    <row r="51" spans="1:16">
      <c r="A51" s="4">
        <v>46092</v>
      </c>
      <c r="B51" s="5" t="s">
        <v>98</v>
      </c>
      <c r="C51" s="5" t="s">
        <v>99</v>
      </c>
      <c r="D51" s="6" t="s">
        <v>14</v>
      </c>
      <c r="E51" s="6" t="s">
        <v>15</v>
      </c>
      <c r="F51" s="7">
        <v>7.74</v>
      </c>
      <c r="G51" s="8" cm="1">
        <f t="array" ref="G51">IFERROR(
  IF(D51&lt;&gt;"Cédric",
     0,
     SUMPRODUCT(
       (TRIM(SUBSTITUTE(UPPER($B$2:$B51),CHAR(160),""))=TRIM(SUBSTITUTE(UPPER(B51),CHAR(160),"")))*
       (TRIM(SUBSTITUTE(UPPER($C$2:$C51),CHAR(160),""))=TRIM(SUBSTITUTE(UPPER(C51),CHAR(160),"")))*
       (TRIM(SUBSTITUTE(UPPER($D$2:$D51),CHAR(160),""))=TRIM(SUBSTITUTE(UPPER(D51),CHAR(160),"")))*
       (TRIM(SUBSTITUTE(UPPER($E$2:$E51),CHAR(160),""))=TRIM(SUBSTITUTE(UPPER(E51),CHAR(160),"")))
     )
  ),
  0
)</f>
        <v>1</v>
      </c>
      <c r="H51" s="8" cm="1">
        <f t="array" ref="H51">IFERROR(
  IF(D51&lt;&gt;"Geoffroy",
     0,
     SUMPRODUCT(
       (TRIM(SUBSTITUTE(UPPER($B$2:$B51),CHAR(160),""))=TRIM(SUBSTITUTE(UPPER(B51),CHAR(160),"")))*
       (TRIM(SUBSTITUTE(UPPER($C$2:$C51),CHAR(160),""))=TRIM(SUBSTITUTE(UPPER(C51),CHAR(160),"")))*
       (TRIM(SUBSTITUTE(UPPER($D$2:$D51),CHAR(160),""))=TRIM(SUBSTITUTE(UPPER(D51),CHAR(160),"")))*
       (TRIM(SUBSTITUTE(UPPER($E$2:$E51),CHAR(160),""))=TRIM(SUBSTITUTE(UPPER(E51),CHAR(160),"")))
     )
  ),
  0
)</f>
        <v>0</v>
      </c>
      <c r="I51" s="8" cm="1">
        <f t="array" ref="I51">IFERROR(
  IF(D51&lt;&gt;"Tiphaine",
     0,
     SUMPRODUCT(
       (TRIM(SUBSTITUTE(UPPER($B$2:$B51),CHAR(160),""))=TRIM(SUBSTITUTE(UPPER(B51),CHAR(160),"")))*
       (TRIM(SUBSTITUTE(UPPER($C$2:$C51),CHAR(160),""))=TRIM(SUBSTITUTE(UPPER(C51),CHAR(160),"")))*
       (TRIM(SUBSTITUTE(UPPER($D$2:$D51),CHAR(160),""))=TRIM(SUBSTITUTE(UPPER(D51),CHAR(160),"")))*
       (TRIM(SUBSTITUTE(UPPER($E$2:$E51),CHAR(160),""))=TRIM(SUBSTITUTE(UPPER(E51),CHAR(160),"")))
     )
  ),
  0
)</f>
        <v>0</v>
      </c>
      <c r="J51" s="8" cm="1">
        <f t="array" ref="J51">IFERROR(
  IF(D51&lt;&gt;"Catherine",
     0,
     SUMPRODUCT(
       (TRIM(SUBSTITUTE(UPPER($B$2:$B51),CHAR(160),""))=TRIM(SUBSTITUTE(UPPER(B51),CHAR(160),"")))*
       (TRIM(SUBSTITUTE(UPPER($C$2:$C51),CHAR(160),""))=TRIM(SUBSTITUTE(UPPER(C51),CHAR(160),"")))*
       (TRIM(SUBSTITUTE(UPPER($D$2:$D51),CHAR(160),""))=TRIM(SUBSTITUTE(UPPER(D51),CHAR(160),"")))*
       (TRIM(SUBSTITUTE(UPPER($E$2:$E51),CHAR(160),""))=TRIM(SUBSTITUTE(UPPER(E51),CHAR(160),"")))
     )
  ),
  0
)</f>
        <v>0</v>
      </c>
      <c r="K51" s="9">
        <f>IFERROR(
  IF(
    D51&lt;&gt;"Cédric",
    0,
    IF(
      C51="",
      IF(
        COUNTIFS($B$2:B51,B51,$E$2:E51,E51,$D$2:D51,D51)=1,
        INDEX([1]DB!$A:$A,MATCH($E51,[1]DB!$D:$D,0)),
        IF(
          COUNTIFS($B$2:B51,B51,$E$2:E51,E51,$D$2:D51,D51)=2,
          INDEX([1]DB!$B:$B,MATCH($E51,[1]DB!$D:$D,0)),
          INDEX([1]DB!$C:$C,MATCH($E51,[1]DB!$D:$D,0))
        )
      ),
      IF(
        COUNTIFS($C$2:C51,C51,$E$2:E51,E51,$D$2:D51,D51)=1,
        INDEX([1]DB!$A:$A,MATCH($E51,[1]DB!$D:$D,0)),
        IF(
          COUNTIFS($C$2:C51,C51,$E$2:E51,E51,$D$2:D51,D51)=2,
          INDEX([1]DB!$B:$B,MATCH($E51,[1]DB!$D:$D,0)),
          INDEX([1]DB!$C:$C,MATCH($E51,[1]DB!$D:$D,0))
        )
      )
    )
  ),
  0
)</f>
        <v>75</v>
      </c>
      <c r="L51" s="9">
        <f>IFERROR(
  IF(
    D51&lt;&gt;"Geoffroy",
    0,
    IF(
      C51="",
      IF(
        COUNTIFS($B$2:B51,B51,$E$2:E51,E51,$D$2:D51,D51)=1,
        INDEX([1]DB!$A:$A,MATCH($E51,[1]DB!$D:$D,0)),
        IF(
          COUNTIFS($B$2:B51,B51,$E$2:E51,E51,$D$2:D51,D51)=2,
          INDEX([1]DB!$B:$B,MATCH($E51,[1]DB!$D:$D,0)),
          INDEX([1]DB!$C:$C,MATCH($E51,[1]DB!$D:$D,0))
        )
      ),
      IF(
        COUNTIFS($C$2:C51,C51,$E$2:E51,E51,$D$2:D51,D51)=1,
        INDEX([1]DB!$A:$A,MATCH($E51,[1]DB!$D:$D,0)),
        IF(
          COUNTIFS($C$2:C51,C51,$E$2:E51,E51,$D$2:D51,D51)=2,
          INDEX([1]DB!$B:$B,MATCH($E51,[1]DB!$D:$D,0)),
          INDEX([1]DB!$C:$C,MATCH($E51,[1]DB!$D:$D,0))
        )
      )
    )
  ),
  0
)</f>
        <v>0</v>
      </c>
      <c r="M51" s="9">
        <f>IFERROR(
  IF(
    D51&lt;&gt;"Tiphaine",
    0,
    IF(
      C51="",
      IF(
        COUNTIFS($B$2:B51,B51,$E$2:E51,E51,$D$2:D51,D51)=1,
        INDEX([1]DB!$A:$A,MATCH($E51,[1]DB!$D:$D,0)),
        IF(
          COUNTIFS($B$2:B51,B51,$E$2:E51,E51,$D$2:D51,D51)=2,
          INDEX([1]DB!$B:$B,MATCH($E51,[1]DB!$D:$D,0)),
          INDEX([1]DB!$C:$C,MATCH($E51,[1]DB!$D:$D,0))
        )
      ),
      IF(
        COUNTIFS($C$2:C51,C51,$E$2:E51,E51,$D$2:D51,D51)=1,
        INDEX([1]DB!$A:$A,MATCH($E51,[1]DB!$D:$D,0)),
        IF(
          COUNTIFS($C$2:C51,C51,$E$2:E51,E51,$D$2:D51,D51)=2,
          INDEX([1]DB!$B:$B,MATCH($E51,[1]DB!$D:$D,0)),
          INDEX([1]DB!$C:$C,MATCH($E51,[1]DB!$D:$D,0))
        )
      )
    )
  ),
  0
)</f>
        <v>0</v>
      </c>
      <c r="N51" s="9">
        <f>IFERROR(
  IF(
    D51&lt;&gt;"Catherine",
    0,
    IF(
      C51="",
      IF(
        COUNTIFS($B$2:B51,B51,$E$2:E51,E51,$D$2:D51,D51)=1,
        INDEX([1]DB!$A:$A,MATCH($E51,[1]DB!$D:$D,0)),
        IF(
          COUNTIFS($B$2:B51,B51,$E$2:E51,E51,$D$2:D51,D51)=2,
          INDEX([1]DB!$B:$B,MATCH($E51,[1]DB!$D:$D,0)),
          INDEX([1]DB!$C:$C,MATCH($E51,[1]DB!$D:$D,0))
        )
      ),
      IF(
        COUNTIFS($C$2:C51,C51,$E$2:E51,E51,$D$2:D51,D51)=1,
        INDEX([1]DB!$A:$A,MATCH($E51,[1]DB!$D:$D,0)),
        IF(
          COUNTIFS($C$2:C51,C51,$E$2:E51,E51,$D$2:D51,D51)=2,
          INDEX([1]DB!$B:$B,MATCH($E51,[1]DB!$D:$D,0)),
          INDEX([1]DB!$C:$C,MATCH($E51,[1]DB!$D:$D,0))
        )
      )
    )
  ),
  0
)</f>
        <v>0</v>
      </c>
      <c r="O51" s="5" t="str">
        <f>IF(DAY(A51)&lt;=15,UPPER(LEFT(TEXT(A51,"mmmm"),1))&amp;RIGHT(TEXT(A51,"mmmm"),LEN(TEXT(A51,"mmmm"))-1),UPPER(LEFT(TEXT(DATE(YEAR(A51),MONTH(A51)+1,1),"mmmm"),1))&amp;RIGHT(TEXT(DATE(YEAR(A51),MONTH(A51)+1,1),"mmmm"),LEN(TEXT(DATE(YEAR(A51),MONTH(A51)+1,1),"mmmm"))-1))</f>
        <v>Mars</v>
      </c>
      <c r="P51" s="6" t="str">
        <f ca="1">IF(AND(A51&lt;=TODAY(),F51&lt;&gt;""),"OK","NON")</f>
        <v>OK</v>
      </c>
    </row>
    <row r="52" spans="1:16" ht="15.6">
      <c r="A52" s="4">
        <v>46093</v>
      </c>
      <c r="B52" s="5" t="s">
        <v>100</v>
      </c>
      <c r="C52" s="11" t="s">
        <v>101</v>
      </c>
      <c r="D52" s="6" t="s">
        <v>14</v>
      </c>
      <c r="E52" s="6" t="s">
        <v>27</v>
      </c>
      <c r="F52" s="7">
        <v>7.53</v>
      </c>
      <c r="G52" s="8" cm="1">
        <f t="array" ref="G52">IFERROR(
  IF(D52&lt;&gt;"Cédric",
     0,
     SUMPRODUCT(
       (TRIM(SUBSTITUTE(UPPER($B$2:$B52),CHAR(160),""))=TRIM(SUBSTITUTE(UPPER(B52),CHAR(160),"")))*
       (TRIM(SUBSTITUTE(UPPER($C$2:$C52),CHAR(160),""))=TRIM(SUBSTITUTE(UPPER(C52),CHAR(160),"")))*
       (TRIM(SUBSTITUTE(UPPER($D$2:$D52),CHAR(160),""))=TRIM(SUBSTITUTE(UPPER(D52),CHAR(160),"")))*
       (TRIM(SUBSTITUTE(UPPER($E$2:$E52),CHAR(160),""))=TRIM(SUBSTITUTE(UPPER(E52),CHAR(160),"")))
     )
  ),
  0
)</f>
        <v>1</v>
      </c>
      <c r="H52" s="8" cm="1">
        <f t="array" ref="H52">IFERROR(
  IF(D52&lt;&gt;"Geoffroy",
     0,
     SUMPRODUCT(
       (TRIM(SUBSTITUTE(UPPER($B$2:$B52),CHAR(160),""))=TRIM(SUBSTITUTE(UPPER(B52),CHAR(160),"")))*
       (TRIM(SUBSTITUTE(UPPER($C$2:$C52),CHAR(160),""))=TRIM(SUBSTITUTE(UPPER(C52),CHAR(160),"")))*
       (TRIM(SUBSTITUTE(UPPER($D$2:$D52),CHAR(160),""))=TRIM(SUBSTITUTE(UPPER(D52),CHAR(160),"")))*
       (TRIM(SUBSTITUTE(UPPER($E$2:$E52),CHAR(160),""))=TRIM(SUBSTITUTE(UPPER(E52),CHAR(160),"")))
     )
  ),
  0
)</f>
        <v>0</v>
      </c>
      <c r="I52" s="8" cm="1">
        <f t="array" ref="I52">IFERROR(
  IF(D52&lt;&gt;"Tiphaine",
     0,
     SUMPRODUCT(
       (TRIM(SUBSTITUTE(UPPER($B$2:$B52),CHAR(160),""))=TRIM(SUBSTITUTE(UPPER(B52),CHAR(160),"")))*
       (TRIM(SUBSTITUTE(UPPER($C$2:$C52),CHAR(160),""))=TRIM(SUBSTITUTE(UPPER(C52),CHAR(160),"")))*
       (TRIM(SUBSTITUTE(UPPER($D$2:$D52),CHAR(160),""))=TRIM(SUBSTITUTE(UPPER(D52),CHAR(160),"")))*
       (TRIM(SUBSTITUTE(UPPER($E$2:$E52),CHAR(160),""))=TRIM(SUBSTITUTE(UPPER(E52),CHAR(160),"")))
     )
  ),
  0
)</f>
        <v>0</v>
      </c>
      <c r="J52" s="8" cm="1">
        <f t="array" ref="J52">IFERROR(
  IF(D52&lt;&gt;"Catherine",
     0,
     SUMPRODUCT(
       (TRIM(SUBSTITUTE(UPPER($B$2:$B52),CHAR(160),""))=TRIM(SUBSTITUTE(UPPER(B52),CHAR(160),"")))*
       (TRIM(SUBSTITUTE(UPPER($C$2:$C52),CHAR(160),""))=TRIM(SUBSTITUTE(UPPER(C52),CHAR(160),"")))*
       (TRIM(SUBSTITUTE(UPPER($D$2:$D52),CHAR(160),""))=TRIM(SUBSTITUTE(UPPER(D52),CHAR(160),"")))*
       (TRIM(SUBSTITUTE(UPPER($E$2:$E52),CHAR(160),""))=TRIM(SUBSTITUTE(UPPER(E52),CHAR(160),"")))
     )
  ),
  0
)</f>
        <v>0</v>
      </c>
      <c r="K52" s="9">
        <f>IFERROR(
  IF(
    D52&lt;&gt;"Cédric",
    0,
    IF(
      C52="",
      IF(
        COUNTIFS($B$2:B52,B52,$E$2:E52,E52,$D$2:D52,D52)=1,
        INDEX([1]DB!$A:$A,MATCH($E52,[1]DB!$D:$D,0)),
        IF(
          COUNTIFS($B$2:B52,B52,$E$2:E52,E52,$D$2:D52,D52)=2,
          INDEX([1]DB!$B:$B,MATCH($E52,[1]DB!$D:$D,0)),
          INDEX([1]DB!$C:$C,MATCH($E52,[1]DB!$D:$D,0))
        )
      ),
      IF(
        COUNTIFS($C$2:C52,C52,$E$2:E52,E52,$D$2:D52,D52)=1,
        INDEX([1]DB!$A:$A,MATCH($E52,[1]DB!$D:$D,0)),
        IF(
          COUNTIFS($C$2:C52,C52,$E$2:E52,E52,$D$2:D52,D52)=2,
          INDEX([1]DB!$B:$B,MATCH($E52,[1]DB!$D:$D,0)),
          INDEX([1]DB!$C:$C,MATCH($E52,[1]DB!$D:$D,0))
        )
      )
    )
  ),
  0
)</f>
        <v>75</v>
      </c>
      <c r="L52" s="9">
        <f>IFERROR(
  IF(
    D52&lt;&gt;"Geoffroy",
    0,
    IF(
      C52="",
      IF(
        COUNTIFS($B$2:B52,B52,$E$2:E52,E52,$D$2:D52,D52)=1,
        INDEX([1]DB!$A:$A,MATCH($E52,[1]DB!$D:$D,0)),
        IF(
          COUNTIFS($B$2:B52,B52,$E$2:E52,E52,$D$2:D52,D52)=2,
          INDEX([1]DB!$B:$B,MATCH($E52,[1]DB!$D:$D,0)),
          INDEX([1]DB!$C:$C,MATCH($E52,[1]DB!$D:$D,0))
        )
      ),
      IF(
        COUNTIFS($C$2:C52,C52,$E$2:E52,E52,$D$2:D52,D52)=1,
        INDEX([1]DB!$A:$A,MATCH($E52,[1]DB!$D:$D,0)),
        IF(
          COUNTIFS($C$2:C52,C52,$E$2:E52,E52,$D$2:D52,D52)=2,
          INDEX([1]DB!$B:$B,MATCH($E52,[1]DB!$D:$D,0)),
          INDEX([1]DB!$C:$C,MATCH($E52,[1]DB!$D:$D,0))
        )
      )
    )
  ),
  0
)</f>
        <v>0</v>
      </c>
      <c r="M52" s="9">
        <f>IFERROR(
  IF(
    D52&lt;&gt;"Tiphaine",
    0,
    IF(
      C52="",
      IF(
        COUNTIFS($B$2:B52,B52,$E$2:E52,E52,$D$2:D52,D52)=1,
        INDEX([1]DB!$A:$A,MATCH($E52,[1]DB!$D:$D,0)),
        IF(
          COUNTIFS($B$2:B52,B52,$E$2:E52,E52,$D$2:D52,D52)=2,
          INDEX([1]DB!$B:$B,MATCH($E52,[1]DB!$D:$D,0)),
          INDEX([1]DB!$C:$C,MATCH($E52,[1]DB!$D:$D,0))
        )
      ),
      IF(
        COUNTIFS($C$2:C52,C52,$E$2:E52,E52,$D$2:D52,D52)=1,
        INDEX([1]DB!$A:$A,MATCH($E52,[1]DB!$D:$D,0)),
        IF(
          COUNTIFS($C$2:C52,C52,$E$2:E52,E52,$D$2:D52,D52)=2,
          INDEX([1]DB!$B:$B,MATCH($E52,[1]DB!$D:$D,0)),
          INDEX([1]DB!$C:$C,MATCH($E52,[1]DB!$D:$D,0))
        )
      )
    )
  ),
  0
)</f>
        <v>0</v>
      </c>
      <c r="N52" s="9">
        <f>IFERROR(
  IF(
    D52&lt;&gt;"Catherine",
    0,
    IF(
      C52="",
      IF(
        COUNTIFS($B$2:B52,B52,$E$2:E52,E52,$D$2:D52,D52)=1,
        INDEX([1]DB!$A:$A,MATCH($E52,[1]DB!$D:$D,0)),
        IF(
          COUNTIFS($B$2:B52,B52,$E$2:E52,E52,$D$2:D52,D52)=2,
          INDEX([1]DB!$B:$B,MATCH($E52,[1]DB!$D:$D,0)),
          INDEX([1]DB!$C:$C,MATCH($E52,[1]DB!$D:$D,0))
        )
      ),
      IF(
        COUNTIFS($C$2:C52,C52,$E$2:E52,E52,$D$2:D52,D52)=1,
        INDEX([1]DB!$A:$A,MATCH($E52,[1]DB!$D:$D,0)),
        IF(
          COUNTIFS($C$2:C52,C52,$E$2:E52,E52,$D$2:D52,D52)=2,
          INDEX([1]DB!$B:$B,MATCH($E52,[1]DB!$D:$D,0)),
          INDEX([1]DB!$C:$C,MATCH($E52,[1]DB!$D:$D,0))
        )
      )
    )
  ),
  0
)</f>
        <v>0</v>
      </c>
      <c r="O52" s="5" t="str">
        <f>IF(DAY(A52)&lt;=15,UPPER(LEFT(TEXT(A52,"mmmm"),1))&amp;RIGHT(TEXT(A52,"mmmm"),LEN(TEXT(A52,"mmmm"))-1),UPPER(LEFT(TEXT(DATE(YEAR(A52),MONTH(A52)+1,1),"mmmm"),1))&amp;RIGHT(TEXT(DATE(YEAR(A52),MONTH(A52)+1,1),"mmmm"),LEN(TEXT(DATE(YEAR(A52),MONTH(A52)+1,1),"mmmm"))-1))</f>
        <v>Mars</v>
      </c>
      <c r="P52" s="6" t="str">
        <f ca="1">IF(AND(A52&lt;=TODAY(),F52&lt;&gt;""),"OK","NON")</f>
        <v>OK</v>
      </c>
    </row>
    <row r="53" spans="1:16">
      <c r="A53" s="4">
        <v>46093</v>
      </c>
      <c r="B53" s="5" t="s">
        <v>102</v>
      </c>
      <c r="C53" s="5" t="s">
        <v>103</v>
      </c>
      <c r="D53" s="6" t="s">
        <v>14</v>
      </c>
      <c r="E53" s="6" t="s">
        <v>27</v>
      </c>
      <c r="F53" s="7">
        <v>5.31</v>
      </c>
      <c r="G53" s="8" cm="1">
        <f t="array" ref="G53">IFERROR(
  IF(D53&lt;&gt;"Cédric",
     0,
     SUMPRODUCT(
       (TRIM(SUBSTITUTE(UPPER($B$2:$B53),CHAR(160),""))=TRIM(SUBSTITUTE(UPPER(B53),CHAR(160),"")))*
       (TRIM(SUBSTITUTE(UPPER($C$2:$C53),CHAR(160),""))=TRIM(SUBSTITUTE(UPPER(C53),CHAR(160),"")))*
       (TRIM(SUBSTITUTE(UPPER($D$2:$D53),CHAR(160),""))=TRIM(SUBSTITUTE(UPPER(D53),CHAR(160),"")))*
       (TRIM(SUBSTITUTE(UPPER($E$2:$E53),CHAR(160),""))=TRIM(SUBSTITUTE(UPPER(E53),CHAR(160),"")))
     )
  ),
  0
)</f>
        <v>1</v>
      </c>
      <c r="H53" s="8" cm="1">
        <f t="array" ref="H53">IFERROR(
  IF(D53&lt;&gt;"Geoffroy",
     0,
     SUMPRODUCT(
       (TRIM(SUBSTITUTE(UPPER($B$2:$B53),CHAR(160),""))=TRIM(SUBSTITUTE(UPPER(B53),CHAR(160),"")))*
       (TRIM(SUBSTITUTE(UPPER($C$2:$C53),CHAR(160),""))=TRIM(SUBSTITUTE(UPPER(C53),CHAR(160),"")))*
       (TRIM(SUBSTITUTE(UPPER($D$2:$D53),CHAR(160),""))=TRIM(SUBSTITUTE(UPPER(D53),CHAR(160),"")))*
       (TRIM(SUBSTITUTE(UPPER($E$2:$E53),CHAR(160),""))=TRIM(SUBSTITUTE(UPPER(E53),CHAR(160),"")))
     )
  ),
  0
)</f>
        <v>0</v>
      </c>
      <c r="I53" s="8" cm="1">
        <f t="array" ref="I53">IFERROR(
  IF(D53&lt;&gt;"Tiphaine",
     0,
     SUMPRODUCT(
       (TRIM(SUBSTITUTE(UPPER($B$2:$B53),CHAR(160),""))=TRIM(SUBSTITUTE(UPPER(B53),CHAR(160),"")))*
       (TRIM(SUBSTITUTE(UPPER($C$2:$C53),CHAR(160),""))=TRIM(SUBSTITUTE(UPPER(C53),CHAR(160),"")))*
       (TRIM(SUBSTITUTE(UPPER($D$2:$D53),CHAR(160),""))=TRIM(SUBSTITUTE(UPPER(D53),CHAR(160),"")))*
       (TRIM(SUBSTITUTE(UPPER($E$2:$E53),CHAR(160),""))=TRIM(SUBSTITUTE(UPPER(E53),CHAR(160),"")))
     )
  ),
  0
)</f>
        <v>0</v>
      </c>
      <c r="J53" s="8" cm="1">
        <f t="array" ref="J53">IFERROR(
  IF(D53&lt;&gt;"Catherine",
     0,
     SUMPRODUCT(
       (TRIM(SUBSTITUTE(UPPER($B$2:$B53),CHAR(160),""))=TRIM(SUBSTITUTE(UPPER(B53),CHAR(160),"")))*
       (TRIM(SUBSTITUTE(UPPER($C$2:$C53),CHAR(160),""))=TRIM(SUBSTITUTE(UPPER(C53),CHAR(160),"")))*
       (TRIM(SUBSTITUTE(UPPER($D$2:$D53),CHAR(160),""))=TRIM(SUBSTITUTE(UPPER(D53),CHAR(160),"")))*
       (TRIM(SUBSTITUTE(UPPER($E$2:$E53),CHAR(160),""))=TRIM(SUBSTITUTE(UPPER(E53),CHAR(160),"")))
     )
  ),
  0
)</f>
        <v>0</v>
      </c>
      <c r="K53" s="9">
        <f>IFERROR(
  IF(
    D53&lt;&gt;"Cédric",
    0,
    IF(
      C53="",
      IF(
        COUNTIFS($B$2:B53,B53,$E$2:E53,E53,$D$2:D53,D53)=1,
        INDEX([1]DB!$A:$A,MATCH($E53,[1]DB!$D:$D,0)),
        IF(
          COUNTIFS($B$2:B53,B53,$E$2:E53,E53,$D$2:D53,D53)=2,
          INDEX([1]DB!$B:$B,MATCH($E53,[1]DB!$D:$D,0)),
          INDEX([1]DB!$C:$C,MATCH($E53,[1]DB!$D:$D,0))
        )
      ),
      IF(
        COUNTIFS($C$2:C53,C53,$E$2:E53,E53,$D$2:D53,D53)=1,
        INDEX([1]DB!$A:$A,MATCH($E53,[1]DB!$D:$D,0)),
        IF(
          COUNTIFS($C$2:C53,C53,$E$2:E53,E53,$D$2:D53,D53)=2,
          INDEX([1]DB!$B:$B,MATCH($E53,[1]DB!$D:$D,0)),
          INDEX([1]DB!$C:$C,MATCH($E53,[1]DB!$D:$D,0))
        )
      )
    )
  ),
  0
)</f>
        <v>75</v>
      </c>
      <c r="L53" s="9">
        <f>IFERROR(
  IF(
    D53&lt;&gt;"Geoffroy",
    0,
    IF(
      C53="",
      IF(
        COUNTIFS($B$2:B53,B53,$E$2:E53,E53,$D$2:D53,D53)=1,
        INDEX([1]DB!$A:$A,MATCH($E53,[1]DB!$D:$D,0)),
        IF(
          COUNTIFS($B$2:B53,B53,$E$2:E53,E53,$D$2:D53,D53)=2,
          INDEX([1]DB!$B:$B,MATCH($E53,[1]DB!$D:$D,0)),
          INDEX([1]DB!$C:$C,MATCH($E53,[1]DB!$D:$D,0))
        )
      ),
      IF(
        COUNTIFS($C$2:C53,C53,$E$2:E53,E53,$D$2:D53,D53)=1,
        INDEX([1]DB!$A:$A,MATCH($E53,[1]DB!$D:$D,0)),
        IF(
          COUNTIFS($C$2:C53,C53,$E$2:E53,E53,$D$2:D53,D53)=2,
          INDEX([1]DB!$B:$B,MATCH($E53,[1]DB!$D:$D,0)),
          INDEX([1]DB!$C:$C,MATCH($E53,[1]DB!$D:$D,0))
        )
      )
    )
  ),
  0
)</f>
        <v>0</v>
      </c>
      <c r="M53" s="9">
        <f>IFERROR(
  IF(
    D53&lt;&gt;"Tiphaine",
    0,
    IF(
      C53="",
      IF(
        COUNTIFS($B$2:B53,B53,$E$2:E53,E53,$D$2:D53,D53)=1,
        INDEX([1]DB!$A:$A,MATCH($E53,[1]DB!$D:$D,0)),
        IF(
          COUNTIFS($B$2:B53,B53,$E$2:E53,E53,$D$2:D53,D53)=2,
          INDEX([1]DB!$B:$B,MATCH($E53,[1]DB!$D:$D,0)),
          INDEX([1]DB!$C:$C,MATCH($E53,[1]DB!$D:$D,0))
        )
      ),
      IF(
        COUNTIFS($C$2:C53,C53,$E$2:E53,E53,$D$2:D53,D53)=1,
        INDEX([1]DB!$A:$A,MATCH($E53,[1]DB!$D:$D,0)),
        IF(
          COUNTIFS($C$2:C53,C53,$E$2:E53,E53,$D$2:D53,D53)=2,
          INDEX([1]DB!$B:$B,MATCH($E53,[1]DB!$D:$D,0)),
          INDEX([1]DB!$C:$C,MATCH($E53,[1]DB!$D:$D,0))
        )
      )
    )
  ),
  0
)</f>
        <v>0</v>
      </c>
      <c r="N53" s="9">
        <f>IFERROR(
  IF(
    D53&lt;&gt;"Catherine",
    0,
    IF(
      C53="",
      IF(
        COUNTIFS($B$2:B53,B53,$E$2:E53,E53,$D$2:D53,D53)=1,
        INDEX([1]DB!$A:$A,MATCH($E53,[1]DB!$D:$D,0)),
        IF(
          COUNTIFS($B$2:B53,B53,$E$2:E53,E53,$D$2:D53,D53)=2,
          INDEX([1]DB!$B:$B,MATCH($E53,[1]DB!$D:$D,0)),
          INDEX([1]DB!$C:$C,MATCH($E53,[1]DB!$D:$D,0))
        )
      ),
      IF(
        COUNTIFS($C$2:C53,C53,$E$2:E53,E53,$D$2:D53,D53)=1,
        INDEX([1]DB!$A:$A,MATCH($E53,[1]DB!$D:$D,0)),
        IF(
          COUNTIFS($C$2:C53,C53,$E$2:E53,E53,$D$2:D53,D53)=2,
          INDEX([1]DB!$B:$B,MATCH($E53,[1]DB!$D:$D,0)),
          INDEX([1]DB!$C:$C,MATCH($E53,[1]DB!$D:$D,0))
        )
      )
    )
  ),
  0
)</f>
        <v>0</v>
      </c>
      <c r="O53" s="5" t="str">
        <f>IF(DAY(A53)&lt;=15,UPPER(LEFT(TEXT(A53,"mmmm"),1))&amp;RIGHT(TEXT(A53,"mmmm"),LEN(TEXT(A53,"mmmm"))-1),UPPER(LEFT(TEXT(DATE(YEAR(A53),MONTH(A53)+1,1),"mmmm"),1))&amp;RIGHT(TEXT(DATE(YEAR(A53),MONTH(A53)+1,1),"mmmm"),LEN(TEXT(DATE(YEAR(A53),MONTH(A53)+1,1),"mmmm"))-1))</f>
        <v>Mars</v>
      </c>
      <c r="P53" s="6" t="str">
        <f ca="1">IF(AND(A53&lt;=TODAY(),F53&lt;&gt;""),"OK","NON")</f>
        <v>OK</v>
      </c>
    </row>
    <row r="54" spans="1:16">
      <c r="A54" s="4">
        <v>46093</v>
      </c>
      <c r="B54" s="5" t="s">
        <v>104</v>
      </c>
      <c r="C54" s="5" t="s">
        <v>105</v>
      </c>
      <c r="D54" s="6" t="s">
        <v>91</v>
      </c>
      <c r="E54" s="6" t="s">
        <v>15</v>
      </c>
      <c r="F54" s="7">
        <v>8.23</v>
      </c>
      <c r="G54" s="8" cm="1">
        <f t="array" ref="G54">IFERROR(
  IF(D54&lt;&gt;"Cédric",
     0,
     SUMPRODUCT(
       (TRIM(SUBSTITUTE(UPPER($B$2:$B54),CHAR(160),""))=TRIM(SUBSTITUTE(UPPER(B54),CHAR(160),"")))*
       (TRIM(SUBSTITUTE(UPPER($C$2:$C54),CHAR(160),""))=TRIM(SUBSTITUTE(UPPER(C54),CHAR(160),"")))*
       (TRIM(SUBSTITUTE(UPPER($D$2:$D54),CHAR(160),""))=TRIM(SUBSTITUTE(UPPER(D54),CHAR(160),"")))*
       (TRIM(SUBSTITUTE(UPPER($E$2:$E54),CHAR(160),""))=TRIM(SUBSTITUTE(UPPER(E54),CHAR(160),"")))
     )
  ),
  0
)</f>
        <v>0</v>
      </c>
      <c r="H54" s="8" cm="1">
        <f t="array" ref="H54">IFERROR(
  IF(D54&lt;&gt;"Geoffroy",
     0,
     SUMPRODUCT(
       (TRIM(SUBSTITUTE(UPPER($B$2:$B54),CHAR(160),""))=TRIM(SUBSTITUTE(UPPER(B54),CHAR(160),"")))*
       (TRIM(SUBSTITUTE(UPPER($C$2:$C54),CHAR(160),""))=TRIM(SUBSTITUTE(UPPER(C54),CHAR(160),"")))*
       (TRIM(SUBSTITUTE(UPPER($D$2:$D54),CHAR(160),""))=TRIM(SUBSTITUTE(UPPER(D54),CHAR(160),"")))*
       (TRIM(SUBSTITUTE(UPPER($E$2:$E54),CHAR(160),""))=TRIM(SUBSTITUTE(UPPER(E54),CHAR(160),"")))
     )
  ),
  0
)</f>
        <v>1</v>
      </c>
      <c r="I54" s="8" cm="1">
        <f t="array" ref="I54">IFERROR(
  IF(D54&lt;&gt;"Tiphaine",
     0,
     SUMPRODUCT(
       (TRIM(SUBSTITUTE(UPPER($B$2:$B54),CHAR(160),""))=TRIM(SUBSTITUTE(UPPER(B54),CHAR(160),"")))*
       (TRIM(SUBSTITUTE(UPPER($C$2:$C54),CHAR(160),""))=TRIM(SUBSTITUTE(UPPER(C54),CHAR(160),"")))*
       (TRIM(SUBSTITUTE(UPPER($D$2:$D54),CHAR(160),""))=TRIM(SUBSTITUTE(UPPER(D54),CHAR(160),"")))*
       (TRIM(SUBSTITUTE(UPPER($E$2:$E54),CHAR(160),""))=TRIM(SUBSTITUTE(UPPER(E54),CHAR(160),"")))
     )
  ),
  0
)</f>
        <v>0</v>
      </c>
      <c r="J54" s="8" cm="1">
        <f t="array" ref="J54">IFERROR(
  IF(D54&lt;&gt;"Catherine",
     0,
     SUMPRODUCT(
       (TRIM(SUBSTITUTE(UPPER($B$2:$B54),CHAR(160),""))=TRIM(SUBSTITUTE(UPPER(B54),CHAR(160),"")))*
       (TRIM(SUBSTITUTE(UPPER($C$2:$C54),CHAR(160),""))=TRIM(SUBSTITUTE(UPPER(C54),CHAR(160),"")))*
       (TRIM(SUBSTITUTE(UPPER($D$2:$D54),CHAR(160),""))=TRIM(SUBSTITUTE(UPPER(D54),CHAR(160),"")))*
       (TRIM(SUBSTITUTE(UPPER($E$2:$E54),CHAR(160),""))=TRIM(SUBSTITUTE(UPPER(E54),CHAR(160),"")))
     )
  ),
  0
)</f>
        <v>0</v>
      </c>
      <c r="K54" s="9">
        <f>IFERROR(
  IF(
    D54&lt;&gt;"Cédric",
    0,
    IF(
      C54="",
      IF(
        COUNTIFS($B$2:B54,B54,$E$2:E54,E54,$D$2:D54,D54)=1,
        INDEX([1]DB!$A:$A,MATCH($E54,[1]DB!$D:$D,0)),
        IF(
          COUNTIFS($B$2:B54,B54,$E$2:E54,E54,$D$2:D54,D54)=2,
          INDEX([1]DB!$B:$B,MATCH($E54,[1]DB!$D:$D,0)),
          INDEX([1]DB!$C:$C,MATCH($E54,[1]DB!$D:$D,0))
        )
      ),
      IF(
        COUNTIFS($C$2:C54,C54,$E$2:E54,E54,$D$2:D54,D54)=1,
        INDEX([1]DB!$A:$A,MATCH($E54,[1]DB!$D:$D,0)),
        IF(
          COUNTIFS($C$2:C54,C54,$E$2:E54,E54,$D$2:D54,D54)=2,
          INDEX([1]DB!$B:$B,MATCH($E54,[1]DB!$D:$D,0)),
          INDEX([1]DB!$C:$C,MATCH($E54,[1]DB!$D:$D,0))
        )
      )
    )
  ),
  0
)</f>
        <v>0</v>
      </c>
      <c r="L54" s="9">
        <f>IFERROR(
  IF(
    D54&lt;&gt;"Geoffroy",
    0,
    IF(
      C54="",
      IF(
        COUNTIFS($B$2:B54,B54,$E$2:E54,E54,$D$2:D54,D54)=1,
        INDEX([1]DB!$A:$A,MATCH($E54,[1]DB!$D:$D,0)),
        IF(
          COUNTIFS($B$2:B54,B54,$E$2:E54,E54,$D$2:D54,D54)=2,
          INDEX([1]DB!$B:$B,MATCH($E54,[1]DB!$D:$D,0)),
          INDEX([1]DB!$C:$C,MATCH($E54,[1]DB!$D:$D,0))
        )
      ),
      IF(
        COUNTIFS($C$2:C54,C54,$E$2:E54,E54,$D$2:D54,D54)=1,
        INDEX([1]DB!$A:$A,MATCH($E54,[1]DB!$D:$D,0)),
        IF(
          COUNTIFS($C$2:C54,C54,$E$2:E54,E54,$D$2:D54,D54)=2,
          INDEX([1]DB!$B:$B,MATCH($E54,[1]DB!$D:$D,0)),
          INDEX([1]DB!$C:$C,MATCH($E54,[1]DB!$D:$D,0))
        )
      )
    )
  ),
  0
)</f>
        <v>75</v>
      </c>
      <c r="M54" s="9">
        <f>IFERROR(
  IF(
    D54&lt;&gt;"Tiphaine",
    0,
    IF(
      C54="",
      IF(
        COUNTIFS($B$2:B54,B54,$E$2:E54,E54,$D$2:D54,D54)=1,
        INDEX([1]DB!$A:$A,MATCH($E54,[1]DB!$D:$D,0)),
        IF(
          COUNTIFS($B$2:B54,B54,$E$2:E54,E54,$D$2:D54,D54)=2,
          INDEX([1]DB!$B:$B,MATCH($E54,[1]DB!$D:$D,0)),
          INDEX([1]DB!$C:$C,MATCH($E54,[1]DB!$D:$D,0))
        )
      ),
      IF(
        COUNTIFS($C$2:C54,C54,$E$2:E54,E54,$D$2:D54,D54)=1,
        INDEX([1]DB!$A:$A,MATCH($E54,[1]DB!$D:$D,0)),
        IF(
          COUNTIFS($C$2:C54,C54,$E$2:E54,E54,$D$2:D54,D54)=2,
          INDEX([1]DB!$B:$B,MATCH($E54,[1]DB!$D:$D,0)),
          INDEX([1]DB!$C:$C,MATCH($E54,[1]DB!$D:$D,0))
        )
      )
    )
  ),
  0
)</f>
        <v>0</v>
      </c>
      <c r="N54" s="9">
        <f>IFERROR(
  IF(
    D54&lt;&gt;"Catherine",
    0,
    IF(
      C54="",
      IF(
        COUNTIFS($B$2:B54,B54,$E$2:E54,E54,$D$2:D54,D54)=1,
        INDEX([1]DB!$A:$A,MATCH($E54,[1]DB!$D:$D,0)),
        IF(
          COUNTIFS($B$2:B54,B54,$E$2:E54,E54,$D$2:D54,D54)=2,
          INDEX([1]DB!$B:$B,MATCH($E54,[1]DB!$D:$D,0)),
          INDEX([1]DB!$C:$C,MATCH($E54,[1]DB!$D:$D,0))
        )
      ),
      IF(
        COUNTIFS($C$2:C54,C54,$E$2:E54,E54,$D$2:D54,D54)=1,
        INDEX([1]DB!$A:$A,MATCH($E54,[1]DB!$D:$D,0)),
        IF(
          COUNTIFS($C$2:C54,C54,$E$2:E54,E54,$D$2:D54,D54)=2,
          INDEX([1]DB!$B:$B,MATCH($E54,[1]DB!$D:$D,0)),
          INDEX([1]DB!$C:$C,MATCH($E54,[1]DB!$D:$D,0))
        )
      )
    )
  ),
  0
)</f>
        <v>0</v>
      </c>
      <c r="O54" s="5" t="str">
        <f>IF(DAY(A54)&lt;=15,UPPER(LEFT(TEXT(A54,"mmmm"),1))&amp;RIGHT(TEXT(A54,"mmmm"),LEN(TEXT(A54,"mmmm"))-1),UPPER(LEFT(TEXT(DATE(YEAR(A54),MONTH(A54)+1,1),"mmmm"),1))&amp;RIGHT(TEXT(DATE(YEAR(A54),MONTH(A54)+1,1),"mmmm"),LEN(TEXT(DATE(YEAR(A54),MONTH(A54)+1,1),"mmmm"))-1))</f>
        <v>Mars</v>
      </c>
      <c r="P54" s="6" t="str">
        <f ca="1">IF(AND(A54&lt;=TODAY(),F54&lt;&gt;""),"OK","NON")</f>
        <v>OK</v>
      </c>
    </row>
    <row r="55" spans="1:16">
      <c r="A55" s="4">
        <v>46094</v>
      </c>
      <c r="B55" s="5" t="s">
        <v>41</v>
      </c>
      <c r="C55" s="5" t="s">
        <v>99</v>
      </c>
      <c r="D55" s="6" t="s">
        <v>14</v>
      </c>
      <c r="E55" s="6" t="s">
        <v>27</v>
      </c>
      <c r="F55" s="7">
        <v>8.02</v>
      </c>
      <c r="G55" s="8" cm="1">
        <f t="array" ref="G55">IFERROR(
  IF(D55&lt;&gt;"Cédric",
     0,
     SUMPRODUCT(
       (TRIM(SUBSTITUTE(UPPER($B$2:$B55),CHAR(160),""))=TRIM(SUBSTITUTE(UPPER(B55),CHAR(160),"")))*
       (TRIM(SUBSTITUTE(UPPER($C$2:$C55),CHAR(160),""))=TRIM(SUBSTITUTE(UPPER(C55),CHAR(160),"")))*
       (TRIM(SUBSTITUTE(UPPER($D$2:$D55),CHAR(160),""))=TRIM(SUBSTITUTE(UPPER(D55),CHAR(160),"")))*
       (TRIM(SUBSTITUTE(UPPER($E$2:$E55),CHAR(160),""))=TRIM(SUBSTITUTE(UPPER(E55),CHAR(160),"")))
     )
  ),
  0
)</f>
        <v>1</v>
      </c>
      <c r="H55" s="8" cm="1">
        <f t="array" ref="H55">IFERROR(
  IF(D55&lt;&gt;"Geoffroy",
     0,
     SUMPRODUCT(
       (TRIM(SUBSTITUTE(UPPER($B$2:$B55),CHAR(160),""))=TRIM(SUBSTITUTE(UPPER(B55),CHAR(160),"")))*
       (TRIM(SUBSTITUTE(UPPER($C$2:$C55),CHAR(160),""))=TRIM(SUBSTITUTE(UPPER(C55),CHAR(160),"")))*
       (TRIM(SUBSTITUTE(UPPER($D$2:$D55),CHAR(160),""))=TRIM(SUBSTITUTE(UPPER(D55),CHAR(160),"")))*
       (TRIM(SUBSTITUTE(UPPER($E$2:$E55),CHAR(160),""))=TRIM(SUBSTITUTE(UPPER(E55),CHAR(160),"")))
     )
  ),
  0
)</f>
        <v>0</v>
      </c>
      <c r="I55" s="8" cm="1">
        <f t="array" ref="I55">IFERROR(
  IF(D55&lt;&gt;"Tiphaine",
     0,
     SUMPRODUCT(
       (TRIM(SUBSTITUTE(UPPER($B$2:$B55),CHAR(160),""))=TRIM(SUBSTITUTE(UPPER(B55),CHAR(160),"")))*
       (TRIM(SUBSTITUTE(UPPER($C$2:$C55),CHAR(160),""))=TRIM(SUBSTITUTE(UPPER(C55),CHAR(160),"")))*
       (TRIM(SUBSTITUTE(UPPER($D$2:$D55),CHAR(160),""))=TRIM(SUBSTITUTE(UPPER(D55),CHAR(160),"")))*
       (TRIM(SUBSTITUTE(UPPER($E$2:$E55),CHAR(160),""))=TRIM(SUBSTITUTE(UPPER(E55),CHAR(160),"")))
     )
  ),
  0
)</f>
        <v>0</v>
      </c>
      <c r="J55" s="8" cm="1">
        <f t="array" ref="J55">IFERROR(
  IF(D55&lt;&gt;"Catherine",
     0,
     SUMPRODUCT(
       (TRIM(SUBSTITUTE(UPPER($B$2:$B55),CHAR(160),""))=TRIM(SUBSTITUTE(UPPER(B55),CHAR(160),"")))*
       (TRIM(SUBSTITUTE(UPPER($C$2:$C55),CHAR(160),""))=TRIM(SUBSTITUTE(UPPER(C55),CHAR(160),"")))*
       (TRIM(SUBSTITUTE(UPPER($D$2:$D55),CHAR(160),""))=TRIM(SUBSTITUTE(UPPER(D55),CHAR(160),"")))*
       (TRIM(SUBSTITUTE(UPPER($E$2:$E55),CHAR(160),""))=TRIM(SUBSTITUTE(UPPER(E55),CHAR(160),"")))
     )
  ),
  0
)</f>
        <v>0</v>
      </c>
      <c r="K55" s="9">
        <f>IFERROR(
  IF(
    D55&lt;&gt;"Cédric",
    0,
    IF(
      C55="",
      IF(
        COUNTIFS($B$2:B55,B55,$E$2:E55,E55,$D$2:D55,D55)=1,
        INDEX([1]DB!$A:$A,MATCH($E55,[1]DB!$D:$D,0)),
        IF(
          COUNTIFS($B$2:B55,B55,$E$2:E55,E55,$D$2:D55,D55)=2,
          INDEX([1]DB!$B:$B,MATCH($E55,[1]DB!$D:$D,0)),
          INDEX([1]DB!$C:$C,MATCH($E55,[1]DB!$D:$D,0))
        )
      ),
      IF(
        COUNTIFS($C$2:C55,C55,$E$2:E55,E55,$D$2:D55,D55)=1,
        INDEX([1]DB!$A:$A,MATCH($E55,[1]DB!$D:$D,0)),
        IF(
          COUNTIFS($C$2:C55,C55,$E$2:E55,E55,$D$2:D55,D55)=2,
          INDEX([1]DB!$B:$B,MATCH($E55,[1]DB!$D:$D,0)),
          INDEX([1]DB!$C:$C,MATCH($E55,[1]DB!$D:$D,0))
        )
      )
    )
  ),
  0
)</f>
        <v>75</v>
      </c>
      <c r="L55" s="9">
        <f>IFERROR(
  IF(
    D55&lt;&gt;"Geoffroy",
    0,
    IF(
      C55="",
      IF(
        COUNTIFS($B$2:B55,B55,$E$2:E55,E55,$D$2:D55,D55)=1,
        INDEX([1]DB!$A:$A,MATCH($E55,[1]DB!$D:$D,0)),
        IF(
          COUNTIFS($B$2:B55,B55,$E$2:E55,E55,$D$2:D55,D55)=2,
          INDEX([1]DB!$B:$B,MATCH($E55,[1]DB!$D:$D,0)),
          INDEX([1]DB!$C:$C,MATCH($E55,[1]DB!$D:$D,0))
        )
      ),
      IF(
        COUNTIFS($C$2:C55,C55,$E$2:E55,E55,$D$2:D55,D55)=1,
        INDEX([1]DB!$A:$A,MATCH($E55,[1]DB!$D:$D,0)),
        IF(
          COUNTIFS($C$2:C55,C55,$E$2:E55,E55,$D$2:D55,D55)=2,
          INDEX([1]DB!$B:$B,MATCH($E55,[1]DB!$D:$D,0)),
          INDEX([1]DB!$C:$C,MATCH($E55,[1]DB!$D:$D,0))
        )
      )
    )
  ),
  0
)</f>
        <v>0</v>
      </c>
      <c r="M55" s="9">
        <f>IFERROR(
  IF(
    D55&lt;&gt;"Tiphaine",
    0,
    IF(
      C55="",
      IF(
        COUNTIFS($B$2:B55,B55,$E$2:E55,E55,$D$2:D55,D55)=1,
        INDEX([1]DB!$A:$A,MATCH($E55,[1]DB!$D:$D,0)),
        IF(
          COUNTIFS($B$2:B55,B55,$E$2:E55,E55,$D$2:D55,D55)=2,
          INDEX([1]DB!$B:$B,MATCH($E55,[1]DB!$D:$D,0)),
          INDEX([1]DB!$C:$C,MATCH($E55,[1]DB!$D:$D,0))
        )
      ),
      IF(
        COUNTIFS($C$2:C55,C55,$E$2:E55,E55,$D$2:D55,D55)=1,
        INDEX([1]DB!$A:$A,MATCH($E55,[1]DB!$D:$D,0)),
        IF(
          COUNTIFS($C$2:C55,C55,$E$2:E55,E55,$D$2:D55,D55)=2,
          INDEX([1]DB!$B:$B,MATCH($E55,[1]DB!$D:$D,0)),
          INDEX([1]DB!$C:$C,MATCH($E55,[1]DB!$D:$D,0))
        )
      )
    )
  ),
  0
)</f>
        <v>0</v>
      </c>
      <c r="N55" s="9">
        <f>IFERROR(
  IF(
    D55&lt;&gt;"Catherine",
    0,
    IF(
      C55="",
      IF(
        COUNTIFS($B$2:B55,B55,$E$2:E55,E55,$D$2:D55,D55)=1,
        INDEX([1]DB!$A:$A,MATCH($E55,[1]DB!$D:$D,0)),
        IF(
          COUNTIFS($B$2:B55,B55,$E$2:E55,E55,$D$2:D55,D55)=2,
          INDEX([1]DB!$B:$B,MATCH($E55,[1]DB!$D:$D,0)),
          INDEX([1]DB!$C:$C,MATCH($E55,[1]DB!$D:$D,0))
        )
      ),
      IF(
        COUNTIFS($C$2:C55,C55,$E$2:E55,E55,$D$2:D55,D55)=1,
        INDEX([1]DB!$A:$A,MATCH($E55,[1]DB!$D:$D,0)),
        IF(
          COUNTIFS($C$2:C55,C55,$E$2:E55,E55,$D$2:D55,D55)=2,
          INDEX([1]DB!$B:$B,MATCH($E55,[1]DB!$D:$D,0)),
          INDEX([1]DB!$C:$C,MATCH($E55,[1]DB!$D:$D,0))
        )
      )
    )
  ),
  0
)</f>
        <v>0</v>
      </c>
      <c r="O55" s="5" t="str">
        <f>IF(DAY(A55)&lt;=15,UPPER(LEFT(TEXT(A55,"mmmm"),1))&amp;RIGHT(TEXT(A55,"mmmm"),LEN(TEXT(A55,"mmmm"))-1),UPPER(LEFT(TEXT(DATE(YEAR(A55),MONTH(A55)+1,1),"mmmm"),1))&amp;RIGHT(TEXT(DATE(YEAR(A55),MONTH(A55)+1,1),"mmmm"),LEN(TEXT(DATE(YEAR(A55),MONTH(A55)+1,1),"mmmm"))-1))</f>
        <v>Mars</v>
      </c>
      <c r="P55" s="6" t="str">
        <f ca="1">IF(AND(A55&lt;=TODAY(),F55&lt;&gt;""),"OK","NON")</f>
        <v>OK</v>
      </c>
    </row>
    <row r="56" spans="1:16">
      <c r="A56" s="4">
        <v>46098</v>
      </c>
      <c r="B56" s="5" t="s">
        <v>106</v>
      </c>
      <c r="C56" s="5" t="s">
        <v>107</v>
      </c>
      <c r="D56" s="6" t="s">
        <v>14</v>
      </c>
      <c r="E56" s="6" t="s">
        <v>15</v>
      </c>
      <c r="F56" s="7"/>
      <c r="G56" s="8" cm="1">
        <f t="array" ref="G56">IFERROR(
  IF(D56&lt;&gt;"Cédric",
     0,
     SUMPRODUCT(
       (TRIM(SUBSTITUTE(UPPER($B$2:$B56),CHAR(160),""))=TRIM(SUBSTITUTE(UPPER(B56),CHAR(160),"")))*
       (TRIM(SUBSTITUTE(UPPER($C$2:$C56),CHAR(160),""))=TRIM(SUBSTITUTE(UPPER(C56),CHAR(160),"")))*
       (TRIM(SUBSTITUTE(UPPER($D$2:$D56),CHAR(160),""))=TRIM(SUBSTITUTE(UPPER(D56),CHAR(160),"")))*
       (TRIM(SUBSTITUTE(UPPER($E$2:$E56),CHAR(160),""))=TRIM(SUBSTITUTE(UPPER(E56),CHAR(160),"")))
     )
  ),
  0
)</f>
        <v>1</v>
      </c>
      <c r="H56" s="8" cm="1">
        <f t="array" ref="H56">IFERROR(
  IF(D56&lt;&gt;"Geoffroy",
     0,
     SUMPRODUCT(
       (TRIM(SUBSTITUTE(UPPER($B$2:$B56),CHAR(160),""))=TRIM(SUBSTITUTE(UPPER(B56),CHAR(160),"")))*
       (TRIM(SUBSTITUTE(UPPER($C$2:$C56),CHAR(160),""))=TRIM(SUBSTITUTE(UPPER(C56),CHAR(160),"")))*
       (TRIM(SUBSTITUTE(UPPER($D$2:$D56),CHAR(160),""))=TRIM(SUBSTITUTE(UPPER(D56),CHAR(160),"")))*
       (TRIM(SUBSTITUTE(UPPER($E$2:$E56),CHAR(160),""))=TRIM(SUBSTITUTE(UPPER(E56),CHAR(160),"")))
     )
  ),
  0
)</f>
        <v>0</v>
      </c>
      <c r="I56" s="8" cm="1">
        <f t="array" ref="I56">IFERROR(
  IF(D56&lt;&gt;"Tiphaine",
     0,
     SUMPRODUCT(
       (TRIM(SUBSTITUTE(UPPER($B$2:$B56),CHAR(160),""))=TRIM(SUBSTITUTE(UPPER(B56),CHAR(160),"")))*
       (TRIM(SUBSTITUTE(UPPER($C$2:$C56),CHAR(160),""))=TRIM(SUBSTITUTE(UPPER(C56),CHAR(160),"")))*
       (TRIM(SUBSTITUTE(UPPER($D$2:$D56),CHAR(160),""))=TRIM(SUBSTITUTE(UPPER(D56),CHAR(160),"")))*
       (TRIM(SUBSTITUTE(UPPER($E$2:$E56),CHAR(160),""))=TRIM(SUBSTITUTE(UPPER(E56),CHAR(160),"")))
     )
  ),
  0
)</f>
        <v>0</v>
      </c>
      <c r="J56" s="8" cm="1">
        <f t="array" ref="J56">IFERROR(
  IF(D56&lt;&gt;"Catherine",
     0,
     SUMPRODUCT(
       (TRIM(SUBSTITUTE(UPPER($B$2:$B56),CHAR(160),""))=TRIM(SUBSTITUTE(UPPER(B56),CHAR(160),"")))*
       (TRIM(SUBSTITUTE(UPPER($C$2:$C56),CHAR(160),""))=TRIM(SUBSTITUTE(UPPER(C56),CHAR(160),"")))*
       (TRIM(SUBSTITUTE(UPPER($D$2:$D56),CHAR(160),""))=TRIM(SUBSTITUTE(UPPER(D56),CHAR(160),"")))*
       (TRIM(SUBSTITUTE(UPPER($E$2:$E56),CHAR(160),""))=TRIM(SUBSTITUTE(UPPER(E56),CHAR(160),"")))
     )
  ),
  0
)</f>
        <v>0</v>
      </c>
      <c r="K56" s="9">
        <f>IFERROR(
  IF(
    D56&lt;&gt;"Cédric",
    0,
    IF(
      C56="",
      IF(
        COUNTIFS($B$2:B56,B56,$E$2:E56,E56,$D$2:D56,D56)=1,
        INDEX([1]DB!$A:$A,MATCH($E56,[1]DB!$D:$D,0)),
        IF(
          COUNTIFS($B$2:B56,B56,$E$2:E56,E56,$D$2:D56,D56)=2,
          INDEX([1]DB!$B:$B,MATCH($E56,[1]DB!$D:$D,0)),
          INDEX([1]DB!$C:$C,MATCH($E56,[1]DB!$D:$D,0))
        )
      ),
      IF(
        COUNTIFS($C$2:C56,C56,$E$2:E56,E56,$D$2:D56,D56)=1,
        INDEX([1]DB!$A:$A,MATCH($E56,[1]DB!$D:$D,0)),
        IF(
          COUNTIFS($C$2:C56,C56,$E$2:E56,E56,$D$2:D56,D56)=2,
          INDEX([1]DB!$B:$B,MATCH($E56,[1]DB!$D:$D,0)),
          INDEX([1]DB!$C:$C,MATCH($E56,[1]DB!$D:$D,0))
        )
      )
    )
  ),
  0
)</f>
        <v>75</v>
      </c>
      <c r="L56" s="9">
        <f>IFERROR(
  IF(
    D56&lt;&gt;"Geoffroy",
    0,
    IF(
      C56="",
      IF(
        COUNTIFS($B$2:B56,B56,$E$2:E56,E56,$D$2:D56,D56)=1,
        INDEX([1]DB!$A:$A,MATCH($E56,[1]DB!$D:$D,0)),
        IF(
          COUNTIFS($B$2:B56,B56,$E$2:E56,E56,$D$2:D56,D56)=2,
          INDEX([1]DB!$B:$B,MATCH($E56,[1]DB!$D:$D,0)),
          INDEX([1]DB!$C:$C,MATCH($E56,[1]DB!$D:$D,0))
        )
      ),
      IF(
        COUNTIFS($C$2:C56,C56,$E$2:E56,E56,$D$2:D56,D56)=1,
        INDEX([1]DB!$A:$A,MATCH($E56,[1]DB!$D:$D,0)),
        IF(
          COUNTIFS($C$2:C56,C56,$E$2:E56,E56,$D$2:D56,D56)=2,
          INDEX([1]DB!$B:$B,MATCH($E56,[1]DB!$D:$D,0)),
          INDEX([1]DB!$C:$C,MATCH($E56,[1]DB!$D:$D,0))
        )
      )
    )
  ),
  0
)</f>
        <v>0</v>
      </c>
      <c r="M56" s="9">
        <f>IFERROR(
  IF(
    D56&lt;&gt;"Tiphaine",
    0,
    IF(
      C56="",
      IF(
        COUNTIFS($B$2:B56,B56,$E$2:E56,E56,$D$2:D56,D56)=1,
        INDEX([1]DB!$A:$A,MATCH($E56,[1]DB!$D:$D,0)),
        IF(
          COUNTIFS($B$2:B56,B56,$E$2:E56,E56,$D$2:D56,D56)=2,
          INDEX([1]DB!$B:$B,MATCH($E56,[1]DB!$D:$D,0)),
          INDEX([1]DB!$C:$C,MATCH($E56,[1]DB!$D:$D,0))
        )
      ),
      IF(
        COUNTIFS($C$2:C56,C56,$E$2:E56,E56,$D$2:D56,D56)=1,
        INDEX([1]DB!$A:$A,MATCH($E56,[1]DB!$D:$D,0)),
        IF(
          COUNTIFS($C$2:C56,C56,$E$2:E56,E56,$D$2:D56,D56)=2,
          INDEX([1]DB!$B:$B,MATCH($E56,[1]DB!$D:$D,0)),
          INDEX([1]DB!$C:$C,MATCH($E56,[1]DB!$D:$D,0))
        )
      )
    )
  ),
  0
)</f>
        <v>0</v>
      </c>
      <c r="N56" s="9">
        <f>IFERROR(
  IF(
    D56&lt;&gt;"Catherine",
    0,
    IF(
      C56="",
      IF(
        COUNTIFS($B$2:B56,B56,$E$2:E56,E56,$D$2:D56,D56)=1,
        INDEX([1]DB!$A:$A,MATCH($E56,[1]DB!$D:$D,0)),
        IF(
          COUNTIFS($B$2:B56,B56,$E$2:E56,E56,$D$2:D56,D56)=2,
          INDEX([1]DB!$B:$B,MATCH($E56,[1]DB!$D:$D,0)),
          INDEX([1]DB!$C:$C,MATCH($E56,[1]DB!$D:$D,0))
        )
      ),
      IF(
        COUNTIFS($C$2:C56,C56,$E$2:E56,E56,$D$2:D56,D56)=1,
        INDEX([1]DB!$A:$A,MATCH($E56,[1]DB!$D:$D,0)),
        IF(
          COUNTIFS($C$2:C56,C56,$E$2:E56,E56,$D$2:D56,D56)=2,
          INDEX([1]DB!$B:$B,MATCH($E56,[1]DB!$D:$D,0)),
          INDEX([1]DB!$C:$C,MATCH($E56,[1]DB!$D:$D,0))
        )
      )
    )
  ),
  0
)</f>
        <v>0</v>
      </c>
      <c r="O56" s="5" t="str">
        <f t="shared" ref="O56:O72" si="0">IF(DAY(A56)&lt;=15,UPPER(LEFT(TEXT(A56,"mmmm"),1))&amp;RIGHT(TEXT(A56,"mmmm"),LEN(TEXT(A56,"mmmm"))-1),UPPER(LEFT(TEXT(DATE(YEAR(A56),MONTH(A56)+1,1),"mmmm"),1))&amp;RIGHT(TEXT(DATE(YEAR(A56),MONTH(A56)+1,1),"mmmm"),LEN(TEXT(DATE(YEAR(A56),MONTH(A56)+1,1),"mmmm"))-1))</f>
        <v>Avril</v>
      </c>
      <c r="P56" s="6" t="str">
        <f t="shared" ref="P56:P72" ca="1" si="1">IF(AND(A56&lt;=TODAY(),F56&lt;&gt;""),"OK","NON")</f>
        <v>NON</v>
      </c>
    </row>
    <row r="57" spans="1:16">
      <c r="A57" s="4">
        <v>46100</v>
      </c>
      <c r="B57" s="5" t="s">
        <v>93</v>
      </c>
      <c r="C57" s="5" t="s">
        <v>97</v>
      </c>
      <c r="D57" s="6" t="s">
        <v>14</v>
      </c>
      <c r="E57" s="6" t="s">
        <v>27</v>
      </c>
      <c r="F57" s="7"/>
      <c r="G57" s="8" cm="1">
        <f t="array" ref="G57">IFERROR(
  IF(D57&lt;&gt;"Cédric",
     0,
     SUMPRODUCT(
       (TRIM(SUBSTITUTE(UPPER($B$2:$B57),CHAR(160),""))=TRIM(SUBSTITUTE(UPPER(B57),CHAR(160),"")))*
       (TRIM(SUBSTITUTE(UPPER($C$2:$C57),CHAR(160),""))=TRIM(SUBSTITUTE(UPPER(C57),CHAR(160),"")))*
       (TRIM(SUBSTITUTE(UPPER($D$2:$D57),CHAR(160),""))=TRIM(SUBSTITUTE(UPPER(D57),CHAR(160),"")))*
       (TRIM(SUBSTITUTE(UPPER($E$2:$E57),CHAR(160),""))=TRIM(SUBSTITUTE(UPPER(E57),CHAR(160),"")))
     )
  ),
  0
)</f>
        <v>1</v>
      </c>
      <c r="H57" s="8" cm="1">
        <f t="array" ref="H57">IFERROR(
  IF(D57&lt;&gt;"Geoffroy",
     0,
     SUMPRODUCT(
       (TRIM(SUBSTITUTE(UPPER($B$2:$B57),CHAR(160),""))=TRIM(SUBSTITUTE(UPPER(B57),CHAR(160),"")))*
       (TRIM(SUBSTITUTE(UPPER($C$2:$C57),CHAR(160),""))=TRIM(SUBSTITUTE(UPPER(C57),CHAR(160),"")))*
       (TRIM(SUBSTITUTE(UPPER($D$2:$D57),CHAR(160),""))=TRIM(SUBSTITUTE(UPPER(D57),CHAR(160),"")))*
       (TRIM(SUBSTITUTE(UPPER($E$2:$E57),CHAR(160),""))=TRIM(SUBSTITUTE(UPPER(E57),CHAR(160),"")))
     )
  ),
  0
)</f>
        <v>0</v>
      </c>
      <c r="I57" s="8" cm="1">
        <f t="array" ref="I57">IFERROR(
  IF(D57&lt;&gt;"Tiphaine",
     0,
     SUMPRODUCT(
       (TRIM(SUBSTITUTE(UPPER($B$2:$B57),CHAR(160),""))=TRIM(SUBSTITUTE(UPPER(B57),CHAR(160),"")))*
       (TRIM(SUBSTITUTE(UPPER($C$2:$C57),CHAR(160),""))=TRIM(SUBSTITUTE(UPPER(C57),CHAR(160),"")))*
       (TRIM(SUBSTITUTE(UPPER($D$2:$D57),CHAR(160),""))=TRIM(SUBSTITUTE(UPPER(D57),CHAR(160),"")))*
       (TRIM(SUBSTITUTE(UPPER($E$2:$E57),CHAR(160),""))=TRIM(SUBSTITUTE(UPPER(E57),CHAR(160),"")))
     )
  ),
  0
)</f>
        <v>0</v>
      </c>
      <c r="J57" s="8" cm="1">
        <f t="array" ref="J57">IFERROR(
  IF(D57&lt;&gt;"Catherine",
     0,
     SUMPRODUCT(
       (TRIM(SUBSTITUTE(UPPER($B$2:$B57),CHAR(160),""))=TRIM(SUBSTITUTE(UPPER(B57),CHAR(160),"")))*
       (TRIM(SUBSTITUTE(UPPER($C$2:$C57),CHAR(160),""))=TRIM(SUBSTITUTE(UPPER(C57),CHAR(160),"")))*
       (TRIM(SUBSTITUTE(UPPER($D$2:$D57),CHAR(160),""))=TRIM(SUBSTITUTE(UPPER(D57),CHAR(160),"")))*
       (TRIM(SUBSTITUTE(UPPER($E$2:$E57),CHAR(160),""))=TRIM(SUBSTITUTE(UPPER(E57),CHAR(160),"")))
     )
  ),
  0
)</f>
        <v>0</v>
      </c>
      <c r="K57" s="9">
        <f>IFERROR(
  IF(
    D57&lt;&gt;"Cédric",
    0,
    IF(
      C57="",
      IF(
        COUNTIFS($B$2:B57,B57,$E$2:E57,E57,$D$2:D57,D57)=1,
        INDEX([1]DB!$A:$A,MATCH($E57,[1]DB!$D:$D,0)),
        IF(
          COUNTIFS($B$2:B57,B57,$E$2:E57,E57,$D$2:D57,D57)=2,
          INDEX([1]DB!$B:$B,MATCH($E57,[1]DB!$D:$D,0)),
          INDEX([1]DB!$C:$C,MATCH($E57,[1]DB!$D:$D,0))
        )
      ),
      IF(
        COUNTIFS($C$2:C57,C57,$E$2:E57,E57,$D$2:D57,D57)=1,
        INDEX([1]DB!$A:$A,MATCH($E57,[1]DB!$D:$D,0)),
        IF(
          COUNTIFS($C$2:C57,C57,$E$2:E57,E57,$D$2:D57,D57)=2,
          INDEX([1]DB!$B:$B,MATCH($E57,[1]DB!$D:$D,0)),
          INDEX([1]DB!$C:$C,MATCH($E57,[1]DB!$D:$D,0))
        )
      )
    )
  ),
  0
)</f>
        <v>75</v>
      </c>
      <c r="L57" s="9">
        <f>IFERROR(
  IF(
    D57&lt;&gt;"Geoffroy",
    0,
    IF(
      C57="",
      IF(
        COUNTIFS($B$2:B57,B57,$E$2:E57,E57,$D$2:D57,D57)=1,
        INDEX([1]DB!$A:$A,MATCH($E57,[1]DB!$D:$D,0)),
        IF(
          COUNTIFS($B$2:B57,B57,$E$2:E57,E57,$D$2:D57,D57)=2,
          INDEX([1]DB!$B:$B,MATCH($E57,[1]DB!$D:$D,0)),
          INDEX([1]DB!$C:$C,MATCH($E57,[1]DB!$D:$D,0))
        )
      ),
      IF(
        COUNTIFS($C$2:C57,C57,$E$2:E57,E57,$D$2:D57,D57)=1,
        INDEX([1]DB!$A:$A,MATCH($E57,[1]DB!$D:$D,0)),
        IF(
          COUNTIFS($C$2:C57,C57,$E$2:E57,E57,$D$2:D57,D57)=2,
          INDEX([1]DB!$B:$B,MATCH($E57,[1]DB!$D:$D,0)),
          INDEX([1]DB!$C:$C,MATCH($E57,[1]DB!$D:$D,0))
        )
      )
    )
  ),
  0
)</f>
        <v>0</v>
      </c>
      <c r="M57" s="9">
        <f>IFERROR(
  IF(
    D57&lt;&gt;"Tiphaine",
    0,
    IF(
      C57="",
      IF(
        COUNTIFS($B$2:B57,B57,$E$2:E57,E57,$D$2:D57,D57)=1,
        INDEX([1]DB!$A:$A,MATCH($E57,[1]DB!$D:$D,0)),
        IF(
          COUNTIFS($B$2:B57,B57,$E$2:E57,E57,$D$2:D57,D57)=2,
          INDEX([1]DB!$B:$B,MATCH($E57,[1]DB!$D:$D,0)),
          INDEX([1]DB!$C:$C,MATCH($E57,[1]DB!$D:$D,0))
        )
      ),
      IF(
        COUNTIFS($C$2:C57,C57,$E$2:E57,E57,$D$2:D57,D57)=1,
        INDEX([1]DB!$A:$A,MATCH($E57,[1]DB!$D:$D,0)),
        IF(
          COUNTIFS($C$2:C57,C57,$E$2:E57,E57,$D$2:D57,D57)=2,
          INDEX([1]DB!$B:$B,MATCH($E57,[1]DB!$D:$D,0)),
          INDEX([1]DB!$C:$C,MATCH($E57,[1]DB!$D:$D,0))
        )
      )
    )
  ),
  0
)</f>
        <v>0</v>
      </c>
      <c r="N57" s="9">
        <f>IFERROR(
  IF(
    D57&lt;&gt;"Catherine",
    0,
    IF(
      C57="",
      IF(
        COUNTIFS($B$2:B57,B57,$E$2:E57,E57,$D$2:D57,D57)=1,
        INDEX([1]DB!$A:$A,MATCH($E57,[1]DB!$D:$D,0)),
        IF(
          COUNTIFS($B$2:B57,B57,$E$2:E57,E57,$D$2:D57,D57)=2,
          INDEX([1]DB!$B:$B,MATCH($E57,[1]DB!$D:$D,0)),
          INDEX([1]DB!$C:$C,MATCH($E57,[1]DB!$D:$D,0))
        )
      ),
      IF(
        COUNTIFS($C$2:C57,C57,$E$2:E57,E57,$D$2:D57,D57)=1,
        INDEX([1]DB!$A:$A,MATCH($E57,[1]DB!$D:$D,0)),
        IF(
          COUNTIFS($C$2:C57,C57,$E$2:E57,E57,$D$2:D57,D57)=2,
          INDEX([1]DB!$B:$B,MATCH($E57,[1]DB!$D:$D,0)),
          INDEX([1]DB!$C:$C,MATCH($E57,[1]DB!$D:$D,0))
        )
      )
    )
  ),
  0
)</f>
        <v>0</v>
      </c>
      <c r="O57" s="5" t="str">
        <f t="shared" si="0"/>
        <v>Avril</v>
      </c>
      <c r="P57" s="6" t="str">
        <f t="shared" ca="1" si="1"/>
        <v>NON</v>
      </c>
    </row>
    <row r="58" spans="1:16">
      <c r="A58" s="4">
        <v>46105</v>
      </c>
      <c r="B58" s="5" t="s">
        <v>108</v>
      </c>
      <c r="C58" s="5" t="s">
        <v>109</v>
      </c>
      <c r="D58" s="6" t="s">
        <v>14</v>
      </c>
      <c r="E58" s="6" t="s">
        <v>15</v>
      </c>
      <c r="F58" s="7"/>
      <c r="G58" s="8" cm="1">
        <f t="array" ref="G58">IFERROR(
  IF(D58&lt;&gt;"Cédric",
     0,
     SUMPRODUCT(
       (TRIM(SUBSTITUTE(UPPER($B$2:$B58),CHAR(160),""))=TRIM(SUBSTITUTE(UPPER(B58),CHAR(160),"")))*
       (TRIM(SUBSTITUTE(UPPER($C$2:$C58),CHAR(160),""))=TRIM(SUBSTITUTE(UPPER(C58),CHAR(160),"")))*
       (TRIM(SUBSTITUTE(UPPER($D$2:$D58),CHAR(160),""))=TRIM(SUBSTITUTE(UPPER(D58),CHAR(160),"")))*
       (TRIM(SUBSTITUTE(UPPER($E$2:$E58),CHAR(160),""))=TRIM(SUBSTITUTE(UPPER(E58),CHAR(160),"")))
     )
  ),
  0
)</f>
        <v>1</v>
      </c>
      <c r="H58" s="8" cm="1">
        <f t="array" ref="H58">IFERROR(
  IF(D58&lt;&gt;"Geoffroy",
     0,
     SUMPRODUCT(
       (TRIM(SUBSTITUTE(UPPER($B$2:$B58),CHAR(160),""))=TRIM(SUBSTITUTE(UPPER(B58),CHAR(160),"")))*
       (TRIM(SUBSTITUTE(UPPER($C$2:$C58),CHAR(160),""))=TRIM(SUBSTITUTE(UPPER(C58),CHAR(160),"")))*
       (TRIM(SUBSTITUTE(UPPER($D$2:$D58),CHAR(160),""))=TRIM(SUBSTITUTE(UPPER(D58),CHAR(160),"")))*
       (TRIM(SUBSTITUTE(UPPER($E$2:$E58),CHAR(160),""))=TRIM(SUBSTITUTE(UPPER(E58),CHAR(160),"")))
     )
  ),
  0
)</f>
        <v>0</v>
      </c>
      <c r="I58" s="8" cm="1">
        <f t="array" ref="I58">IFERROR(
  IF(D58&lt;&gt;"Tiphaine",
     0,
     SUMPRODUCT(
       (TRIM(SUBSTITUTE(UPPER($B$2:$B58),CHAR(160),""))=TRIM(SUBSTITUTE(UPPER(B58),CHAR(160),"")))*
       (TRIM(SUBSTITUTE(UPPER($C$2:$C58),CHAR(160),""))=TRIM(SUBSTITUTE(UPPER(C58),CHAR(160),"")))*
       (TRIM(SUBSTITUTE(UPPER($D$2:$D58),CHAR(160),""))=TRIM(SUBSTITUTE(UPPER(D58),CHAR(160),"")))*
       (TRIM(SUBSTITUTE(UPPER($E$2:$E58),CHAR(160),""))=TRIM(SUBSTITUTE(UPPER(E58),CHAR(160),"")))
     )
  ),
  0
)</f>
        <v>0</v>
      </c>
      <c r="J58" s="8" cm="1">
        <f t="array" ref="J58">IFERROR(
  IF(D58&lt;&gt;"Catherine",
     0,
     SUMPRODUCT(
       (TRIM(SUBSTITUTE(UPPER($B$2:$B58),CHAR(160),""))=TRIM(SUBSTITUTE(UPPER(B58),CHAR(160),"")))*
       (TRIM(SUBSTITUTE(UPPER($C$2:$C58),CHAR(160),""))=TRIM(SUBSTITUTE(UPPER(C58),CHAR(160),"")))*
       (TRIM(SUBSTITUTE(UPPER($D$2:$D58),CHAR(160),""))=TRIM(SUBSTITUTE(UPPER(D58),CHAR(160),"")))*
       (TRIM(SUBSTITUTE(UPPER($E$2:$E58),CHAR(160),""))=TRIM(SUBSTITUTE(UPPER(E58),CHAR(160),"")))
     )
  ),
  0
)</f>
        <v>0</v>
      </c>
      <c r="K58" s="9">
        <f>IFERROR(
  IF(
    D58&lt;&gt;"Cédric",
    0,
    IF(
      C58="",
      IF(
        COUNTIFS($B$2:B58,B58,$E$2:E58,E58,$D$2:D58,D58)=1,
        INDEX([1]DB!$A:$A,MATCH($E58,[1]DB!$D:$D,0)),
        IF(
          COUNTIFS($B$2:B58,B58,$E$2:E58,E58,$D$2:D58,D58)=2,
          INDEX([1]DB!$B:$B,MATCH($E58,[1]DB!$D:$D,0)),
          INDEX([1]DB!$C:$C,MATCH($E58,[1]DB!$D:$D,0))
        )
      ),
      IF(
        COUNTIFS($C$2:C58,C58,$E$2:E58,E58,$D$2:D58,D58)=1,
        INDEX([1]DB!$A:$A,MATCH($E58,[1]DB!$D:$D,0)),
        IF(
          COUNTIFS($C$2:C58,C58,$E$2:E58,E58,$D$2:D58,D58)=2,
          INDEX([1]DB!$B:$B,MATCH($E58,[1]DB!$D:$D,0)),
          INDEX([1]DB!$C:$C,MATCH($E58,[1]DB!$D:$D,0))
        )
      )
    )
  ),
  0
)</f>
        <v>75</v>
      </c>
      <c r="L58" s="9">
        <f>IFERROR(
  IF(
    D58&lt;&gt;"Geoffroy",
    0,
    IF(
      C58="",
      IF(
        COUNTIFS($B$2:B58,B58,$E$2:E58,E58,$D$2:D58,D58)=1,
        INDEX([1]DB!$A:$A,MATCH($E58,[1]DB!$D:$D,0)),
        IF(
          COUNTIFS($B$2:B58,B58,$E$2:E58,E58,$D$2:D58,D58)=2,
          INDEX([1]DB!$B:$B,MATCH($E58,[1]DB!$D:$D,0)),
          INDEX([1]DB!$C:$C,MATCH($E58,[1]DB!$D:$D,0))
        )
      ),
      IF(
        COUNTIFS($C$2:C58,C58,$E$2:E58,E58,$D$2:D58,D58)=1,
        INDEX([1]DB!$A:$A,MATCH($E58,[1]DB!$D:$D,0)),
        IF(
          COUNTIFS($C$2:C58,C58,$E$2:E58,E58,$D$2:D58,D58)=2,
          INDEX([1]DB!$B:$B,MATCH($E58,[1]DB!$D:$D,0)),
          INDEX([1]DB!$C:$C,MATCH($E58,[1]DB!$D:$D,0))
        )
      )
    )
  ),
  0
)</f>
        <v>0</v>
      </c>
      <c r="M58" s="9">
        <f>IFERROR(
  IF(
    D58&lt;&gt;"Tiphaine",
    0,
    IF(
      C58="",
      IF(
        COUNTIFS($B$2:B58,B58,$E$2:E58,E58,$D$2:D58,D58)=1,
        INDEX([1]DB!$A:$A,MATCH($E58,[1]DB!$D:$D,0)),
        IF(
          COUNTIFS($B$2:B58,B58,$E$2:E58,E58,$D$2:D58,D58)=2,
          INDEX([1]DB!$B:$B,MATCH($E58,[1]DB!$D:$D,0)),
          INDEX([1]DB!$C:$C,MATCH($E58,[1]DB!$D:$D,0))
        )
      ),
      IF(
        COUNTIFS($C$2:C58,C58,$E$2:E58,E58,$D$2:D58,D58)=1,
        INDEX([1]DB!$A:$A,MATCH($E58,[1]DB!$D:$D,0)),
        IF(
          COUNTIFS($C$2:C58,C58,$E$2:E58,E58,$D$2:D58,D58)=2,
          INDEX([1]DB!$B:$B,MATCH($E58,[1]DB!$D:$D,0)),
          INDEX([1]DB!$C:$C,MATCH($E58,[1]DB!$D:$D,0))
        )
      )
    )
  ),
  0
)</f>
        <v>0</v>
      </c>
      <c r="N58" s="9">
        <f>IFERROR(
  IF(
    D58&lt;&gt;"Catherine",
    0,
    IF(
      C58="",
      IF(
        COUNTIFS($B$2:B58,B58,$E$2:E58,E58,$D$2:D58,D58)=1,
        INDEX([1]DB!$A:$A,MATCH($E58,[1]DB!$D:$D,0)),
        IF(
          COUNTIFS($B$2:B58,B58,$E$2:E58,E58,$D$2:D58,D58)=2,
          INDEX([1]DB!$B:$B,MATCH($E58,[1]DB!$D:$D,0)),
          INDEX([1]DB!$C:$C,MATCH($E58,[1]DB!$D:$D,0))
        )
      ),
      IF(
        COUNTIFS($C$2:C58,C58,$E$2:E58,E58,$D$2:D58,D58)=1,
        INDEX([1]DB!$A:$A,MATCH($E58,[1]DB!$D:$D,0)),
        IF(
          COUNTIFS($C$2:C58,C58,$E$2:E58,E58,$D$2:D58,D58)=2,
          INDEX([1]DB!$B:$B,MATCH($E58,[1]DB!$D:$D,0)),
          INDEX([1]DB!$C:$C,MATCH($E58,[1]DB!$D:$D,0))
        )
      )
    )
  ),
  0
)</f>
        <v>0</v>
      </c>
      <c r="O58" s="5" t="str">
        <f t="shared" si="0"/>
        <v>Avril</v>
      </c>
      <c r="P58" s="6" t="str">
        <f t="shared" ca="1" si="1"/>
        <v>NON</v>
      </c>
    </row>
    <row r="59" spans="1:16">
      <c r="A59" s="4">
        <v>46107</v>
      </c>
      <c r="B59" s="5" t="s">
        <v>110</v>
      </c>
      <c r="C59" s="5" t="s">
        <v>111</v>
      </c>
      <c r="D59" s="6" t="s">
        <v>14</v>
      </c>
      <c r="E59" s="6" t="s">
        <v>15</v>
      </c>
      <c r="F59" s="7"/>
      <c r="G59" s="8" cm="1">
        <f t="array" ref="G59">IFERROR(
  IF(D59&lt;&gt;"Cédric",
     0,
     SUMPRODUCT(
       (TRIM(SUBSTITUTE(UPPER($B$2:$B59),CHAR(160),""))=TRIM(SUBSTITUTE(UPPER(B59),CHAR(160),"")))*
       (TRIM(SUBSTITUTE(UPPER($C$2:$C59),CHAR(160),""))=TRIM(SUBSTITUTE(UPPER(C59),CHAR(160),"")))*
       (TRIM(SUBSTITUTE(UPPER($D$2:$D59),CHAR(160),""))=TRIM(SUBSTITUTE(UPPER(D59),CHAR(160),"")))*
       (TRIM(SUBSTITUTE(UPPER($E$2:$E59),CHAR(160),""))=TRIM(SUBSTITUTE(UPPER(E59),CHAR(160),"")))
     )
  ),
  0
)</f>
        <v>1</v>
      </c>
      <c r="H59" s="8" cm="1">
        <f t="array" ref="H59">IFERROR(
  IF(D59&lt;&gt;"Geoffroy",
     0,
     SUMPRODUCT(
       (TRIM(SUBSTITUTE(UPPER($B$2:$B59),CHAR(160),""))=TRIM(SUBSTITUTE(UPPER(B59),CHAR(160),"")))*
       (TRIM(SUBSTITUTE(UPPER($C$2:$C59),CHAR(160),""))=TRIM(SUBSTITUTE(UPPER(C59),CHAR(160),"")))*
       (TRIM(SUBSTITUTE(UPPER($D$2:$D59),CHAR(160),""))=TRIM(SUBSTITUTE(UPPER(D59),CHAR(160),"")))*
       (TRIM(SUBSTITUTE(UPPER($E$2:$E59),CHAR(160),""))=TRIM(SUBSTITUTE(UPPER(E59),CHAR(160),"")))
     )
  ),
  0
)</f>
        <v>0</v>
      </c>
      <c r="I59" s="8" cm="1">
        <f t="array" ref="I59">IFERROR(
  IF(D59&lt;&gt;"Tiphaine",
     0,
     SUMPRODUCT(
       (TRIM(SUBSTITUTE(UPPER($B$2:$B59),CHAR(160),""))=TRIM(SUBSTITUTE(UPPER(B59),CHAR(160),"")))*
       (TRIM(SUBSTITUTE(UPPER($C$2:$C59),CHAR(160),""))=TRIM(SUBSTITUTE(UPPER(C59),CHAR(160),"")))*
       (TRIM(SUBSTITUTE(UPPER($D$2:$D59),CHAR(160),""))=TRIM(SUBSTITUTE(UPPER(D59),CHAR(160),"")))*
       (TRIM(SUBSTITUTE(UPPER($E$2:$E59),CHAR(160),""))=TRIM(SUBSTITUTE(UPPER(E59),CHAR(160),"")))
     )
  ),
  0
)</f>
        <v>0</v>
      </c>
      <c r="J59" s="8" cm="1">
        <f t="array" ref="J59">IFERROR(
  IF(D59&lt;&gt;"Catherine",
     0,
     SUMPRODUCT(
       (TRIM(SUBSTITUTE(UPPER($B$2:$B59),CHAR(160),""))=TRIM(SUBSTITUTE(UPPER(B59),CHAR(160),"")))*
       (TRIM(SUBSTITUTE(UPPER($C$2:$C59),CHAR(160),""))=TRIM(SUBSTITUTE(UPPER(C59),CHAR(160),"")))*
       (TRIM(SUBSTITUTE(UPPER($D$2:$D59),CHAR(160),""))=TRIM(SUBSTITUTE(UPPER(D59),CHAR(160),"")))*
       (TRIM(SUBSTITUTE(UPPER($E$2:$E59),CHAR(160),""))=TRIM(SUBSTITUTE(UPPER(E59),CHAR(160),"")))
     )
  ),
  0
)</f>
        <v>0</v>
      </c>
      <c r="K59" s="9">
        <f>IFERROR(
  IF(
    D59&lt;&gt;"Cédric",
    0,
    IF(
      C59="",
      IF(
        COUNTIFS($B$2:B59,B59,$E$2:E59,E59,$D$2:D59,D59)=1,
        INDEX([1]DB!$A:$A,MATCH($E59,[1]DB!$D:$D,0)),
        IF(
          COUNTIFS($B$2:B59,B59,$E$2:E59,E59,$D$2:D59,D59)=2,
          INDEX([1]DB!$B:$B,MATCH($E59,[1]DB!$D:$D,0)),
          INDEX([1]DB!$C:$C,MATCH($E59,[1]DB!$D:$D,0))
        )
      ),
      IF(
        COUNTIFS($C$2:C59,C59,$E$2:E59,E59,$D$2:D59,D59)=1,
        INDEX([1]DB!$A:$A,MATCH($E59,[1]DB!$D:$D,0)),
        IF(
          COUNTIFS($C$2:C59,C59,$E$2:E59,E59,$D$2:D59,D59)=2,
          INDEX([1]DB!$B:$B,MATCH($E59,[1]DB!$D:$D,0)),
          INDEX([1]DB!$C:$C,MATCH($E59,[1]DB!$D:$D,0))
        )
      )
    )
  ),
  0
)</f>
        <v>75</v>
      </c>
      <c r="L59" s="9">
        <f>IFERROR(
  IF(
    D59&lt;&gt;"Geoffroy",
    0,
    IF(
      C59="",
      IF(
        COUNTIFS($B$2:B59,B59,$E$2:E59,E59,$D$2:D59,D59)=1,
        INDEX([1]DB!$A:$A,MATCH($E59,[1]DB!$D:$D,0)),
        IF(
          COUNTIFS($B$2:B59,B59,$E$2:E59,E59,$D$2:D59,D59)=2,
          INDEX([1]DB!$B:$B,MATCH($E59,[1]DB!$D:$D,0)),
          INDEX([1]DB!$C:$C,MATCH($E59,[1]DB!$D:$D,0))
        )
      ),
      IF(
        COUNTIFS($C$2:C59,C59,$E$2:E59,E59,$D$2:D59,D59)=1,
        INDEX([1]DB!$A:$A,MATCH($E59,[1]DB!$D:$D,0)),
        IF(
          COUNTIFS($C$2:C59,C59,$E$2:E59,E59,$D$2:D59,D59)=2,
          INDEX([1]DB!$B:$B,MATCH($E59,[1]DB!$D:$D,0)),
          INDEX([1]DB!$C:$C,MATCH($E59,[1]DB!$D:$D,0))
        )
      )
    )
  ),
  0
)</f>
        <v>0</v>
      </c>
      <c r="M59" s="9">
        <f>IFERROR(
  IF(
    D59&lt;&gt;"Tiphaine",
    0,
    IF(
      C59="",
      IF(
        COUNTIFS($B$2:B59,B59,$E$2:E59,E59,$D$2:D59,D59)=1,
        INDEX([1]DB!$A:$A,MATCH($E59,[1]DB!$D:$D,0)),
        IF(
          COUNTIFS($B$2:B59,B59,$E$2:E59,E59,$D$2:D59,D59)=2,
          INDEX([1]DB!$B:$B,MATCH($E59,[1]DB!$D:$D,0)),
          INDEX([1]DB!$C:$C,MATCH($E59,[1]DB!$D:$D,0))
        )
      ),
      IF(
        COUNTIFS($C$2:C59,C59,$E$2:E59,E59,$D$2:D59,D59)=1,
        INDEX([1]DB!$A:$A,MATCH($E59,[1]DB!$D:$D,0)),
        IF(
          COUNTIFS($C$2:C59,C59,$E$2:E59,E59,$D$2:D59,D59)=2,
          INDEX([1]DB!$B:$B,MATCH($E59,[1]DB!$D:$D,0)),
          INDEX([1]DB!$C:$C,MATCH($E59,[1]DB!$D:$D,0))
        )
      )
    )
  ),
  0
)</f>
        <v>0</v>
      </c>
      <c r="N59" s="9">
        <f>IFERROR(
  IF(
    D59&lt;&gt;"Catherine",
    0,
    IF(
      C59="",
      IF(
        COUNTIFS($B$2:B59,B59,$E$2:E59,E59,$D$2:D59,D59)=1,
        INDEX([1]DB!$A:$A,MATCH($E59,[1]DB!$D:$D,0)),
        IF(
          COUNTIFS($B$2:B59,B59,$E$2:E59,E59,$D$2:D59,D59)=2,
          INDEX([1]DB!$B:$B,MATCH($E59,[1]DB!$D:$D,0)),
          INDEX([1]DB!$C:$C,MATCH($E59,[1]DB!$D:$D,0))
        )
      ),
      IF(
        COUNTIFS($C$2:C59,C59,$E$2:E59,E59,$D$2:D59,D59)=1,
        INDEX([1]DB!$A:$A,MATCH($E59,[1]DB!$D:$D,0)),
        IF(
          COUNTIFS($C$2:C59,C59,$E$2:E59,E59,$D$2:D59,D59)=2,
          INDEX([1]DB!$B:$B,MATCH($E59,[1]DB!$D:$D,0)),
          INDEX([1]DB!$C:$C,MATCH($E59,[1]DB!$D:$D,0))
        )
      )
    )
  ),
  0
)</f>
        <v>0</v>
      </c>
      <c r="O59" s="5" t="str">
        <f t="shared" si="0"/>
        <v>Avril</v>
      </c>
      <c r="P59" s="6" t="str">
        <f t="shared" ca="1" si="1"/>
        <v>NON</v>
      </c>
    </row>
    <row r="60" spans="1:16">
      <c r="A60" s="4">
        <v>46115</v>
      </c>
      <c r="B60" s="5" t="s">
        <v>112</v>
      </c>
      <c r="C60" s="5" t="s">
        <v>113</v>
      </c>
      <c r="D60" s="6" t="s">
        <v>14</v>
      </c>
      <c r="E60" s="6" t="s">
        <v>27</v>
      </c>
      <c r="F60" s="7"/>
      <c r="G60" s="8" cm="1">
        <f t="array" ref="G60">IFERROR(
  IF(D60&lt;&gt;"Cédric",
     0,
     SUMPRODUCT(
       (TRIM(SUBSTITUTE(UPPER($B$2:$B60),CHAR(160),""))=TRIM(SUBSTITUTE(UPPER(B60),CHAR(160),"")))*
       (TRIM(SUBSTITUTE(UPPER($C$2:$C60),CHAR(160),""))=TRIM(SUBSTITUTE(UPPER(C60),CHAR(160),"")))*
       (TRIM(SUBSTITUTE(UPPER($D$2:$D60),CHAR(160),""))=TRIM(SUBSTITUTE(UPPER(D60),CHAR(160),"")))*
       (TRIM(SUBSTITUTE(UPPER($E$2:$E60),CHAR(160),""))=TRIM(SUBSTITUTE(UPPER(E60),CHAR(160),"")))
     )
  ),
  0
)</f>
        <v>1</v>
      </c>
      <c r="H60" s="8" cm="1">
        <f t="array" ref="H60">IFERROR(
  IF(D60&lt;&gt;"Geoffroy",
     0,
     SUMPRODUCT(
       (TRIM(SUBSTITUTE(UPPER($B$2:$B60),CHAR(160),""))=TRIM(SUBSTITUTE(UPPER(B60),CHAR(160),"")))*
       (TRIM(SUBSTITUTE(UPPER($C$2:$C60),CHAR(160),""))=TRIM(SUBSTITUTE(UPPER(C60),CHAR(160),"")))*
       (TRIM(SUBSTITUTE(UPPER($D$2:$D60),CHAR(160),""))=TRIM(SUBSTITUTE(UPPER(D60),CHAR(160),"")))*
       (TRIM(SUBSTITUTE(UPPER($E$2:$E60),CHAR(160),""))=TRIM(SUBSTITUTE(UPPER(E60),CHAR(160),"")))
     )
  ),
  0
)</f>
        <v>0</v>
      </c>
      <c r="I60" s="8" cm="1">
        <f t="array" ref="I60">IFERROR(
  IF(D60&lt;&gt;"Tiphaine",
     0,
     SUMPRODUCT(
       (TRIM(SUBSTITUTE(UPPER($B$2:$B60),CHAR(160),""))=TRIM(SUBSTITUTE(UPPER(B60),CHAR(160),"")))*
       (TRIM(SUBSTITUTE(UPPER($C$2:$C60),CHAR(160),""))=TRIM(SUBSTITUTE(UPPER(C60),CHAR(160),"")))*
       (TRIM(SUBSTITUTE(UPPER($D$2:$D60),CHAR(160),""))=TRIM(SUBSTITUTE(UPPER(D60),CHAR(160),"")))*
       (TRIM(SUBSTITUTE(UPPER($E$2:$E60),CHAR(160),""))=TRIM(SUBSTITUTE(UPPER(E60),CHAR(160),"")))
     )
  ),
  0
)</f>
        <v>0</v>
      </c>
      <c r="J60" s="8" cm="1">
        <f t="array" ref="J60">IFERROR(
  IF(D60&lt;&gt;"Catherine",
     0,
     SUMPRODUCT(
       (TRIM(SUBSTITUTE(UPPER($B$2:$B60),CHAR(160),""))=TRIM(SUBSTITUTE(UPPER(B60),CHAR(160),"")))*
       (TRIM(SUBSTITUTE(UPPER($C$2:$C60),CHAR(160),""))=TRIM(SUBSTITUTE(UPPER(C60),CHAR(160),"")))*
       (TRIM(SUBSTITUTE(UPPER($D$2:$D60),CHAR(160),""))=TRIM(SUBSTITUTE(UPPER(D60),CHAR(160),"")))*
       (TRIM(SUBSTITUTE(UPPER($E$2:$E60),CHAR(160),""))=TRIM(SUBSTITUTE(UPPER(E60),CHAR(160),"")))
     )
  ),
  0
)</f>
        <v>0</v>
      </c>
      <c r="K60" s="9">
        <f>IFERROR(
  IF(
    D60&lt;&gt;"Cédric",
    0,
    IF(
      C60="",
      IF(
        COUNTIFS($B$2:B60,B60,$E$2:E60,E60,$D$2:D60,D60)=1,
        INDEX([1]DB!$A:$A,MATCH($E60,[1]DB!$D:$D,0)),
        IF(
          COUNTIFS($B$2:B60,B60,$E$2:E60,E60,$D$2:D60,D60)=2,
          INDEX([1]DB!$B:$B,MATCH($E60,[1]DB!$D:$D,0)),
          INDEX([1]DB!$C:$C,MATCH($E60,[1]DB!$D:$D,0))
        )
      ),
      IF(
        COUNTIFS($C$2:C60,C60,$E$2:E60,E60,$D$2:D60,D60)=1,
        INDEX([1]DB!$A:$A,MATCH($E60,[1]DB!$D:$D,0)),
        IF(
          COUNTIFS($C$2:C60,C60,$E$2:E60,E60,$D$2:D60,D60)=2,
          INDEX([1]DB!$B:$B,MATCH($E60,[1]DB!$D:$D,0)),
          INDEX([1]DB!$C:$C,MATCH($E60,[1]DB!$D:$D,0))
        )
      )
    )
  ),
  0
)</f>
        <v>75</v>
      </c>
      <c r="L60" s="9">
        <f>IFERROR(
  IF(
    D60&lt;&gt;"Geoffroy",
    0,
    IF(
      C60="",
      IF(
        COUNTIFS($B$2:B60,B60,$E$2:E60,E60,$D$2:D60,D60)=1,
        INDEX([1]DB!$A:$A,MATCH($E60,[1]DB!$D:$D,0)),
        IF(
          COUNTIFS($B$2:B60,B60,$E$2:E60,E60,$D$2:D60,D60)=2,
          INDEX([1]DB!$B:$B,MATCH($E60,[1]DB!$D:$D,0)),
          INDEX([1]DB!$C:$C,MATCH($E60,[1]DB!$D:$D,0))
        )
      ),
      IF(
        COUNTIFS($C$2:C60,C60,$E$2:E60,E60,$D$2:D60,D60)=1,
        INDEX([1]DB!$A:$A,MATCH($E60,[1]DB!$D:$D,0)),
        IF(
          COUNTIFS($C$2:C60,C60,$E$2:E60,E60,$D$2:D60,D60)=2,
          INDEX([1]DB!$B:$B,MATCH($E60,[1]DB!$D:$D,0)),
          INDEX([1]DB!$C:$C,MATCH($E60,[1]DB!$D:$D,0))
        )
      )
    )
  ),
  0
)</f>
        <v>0</v>
      </c>
      <c r="M60" s="9">
        <f>IFERROR(
  IF(
    D60&lt;&gt;"Tiphaine",
    0,
    IF(
      C60="",
      IF(
        COUNTIFS($B$2:B60,B60,$E$2:E60,E60,$D$2:D60,D60)=1,
        INDEX([1]DB!$A:$A,MATCH($E60,[1]DB!$D:$D,0)),
        IF(
          COUNTIFS($B$2:B60,B60,$E$2:E60,E60,$D$2:D60,D60)=2,
          INDEX([1]DB!$B:$B,MATCH($E60,[1]DB!$D:$D,0)),
          INDEX([1]DB!$C:$C,MATCH($E60,[1]DB!$D:$D,0))
        )
      ),
      IF(
        COUNTIFS($C$2:C60,C60,$E$2:E60,E60,$D$2:D60,D60)=1,
        INDEX([1]DB!$A:$A,MATCH($E60,[1]DB!$D:$D,0)),
        IF(
          COUNTIFS($C$2:C60,C60,$E$2:E60,E60,$D$2:D60,D60)=2,
          INDEX([1]DB!$B:$B,MATCH($E60,[1]DB!$D:$D,0)),
          INDEX([1]DB!$C:$C,MATCH($E60,[1]DB!$D:$D,0))
        )
      )
    )
  ),
  0
)</f>
        <v>0</v>
      </c>
      <c r="N60" s="9">
        <f>IFERROR(
  IF(
    D60&lt;&gt;"Catherine",
    0,
    IF(
      C60="",
      IF(
        COUNTIFS($B$2:B60,B60,$E$2:E60,E60,$D$2:D60,D60)=1,
        INDEX([1]DB!$A:$A,MATCH($E60,[1]DB!$D:$D,0)),
        IF(
          COUNTIFS($B$2:B60,B60,$E$2:E60,E60,$D$2:D60,D60)=2,
          INDEX([1]DB!$B:$B,MATCH($E60,[1]DB!$D:$D,0)),
          INDEX([1]DB!$C:$C,MATCH($E60,[1]DB!$D:$D,0))
        )
      ),
      IF(
        COUNTIFS($C$2:C60,C60,$E$2:E60,E60,$D$2:D60,D60)=1,
        INDEX([1]DB!$A:$A,MATCH($E60,[1]DB!$D:$D,0)),
        IF(
          COUNTIFS($C$2:C60,C60,$E$2:E60,E60,$D$2:D60,D60)=2,
          INDEX([1]DB!$B:$B,MATCH($E60,[1]DB!$D:$D,0)),
          INDEX([1]DB!$C:$C,MATCH($E60,[1]DB!$D:$D,0))
        )
      )
    )
  ),
  0
)</f>
        <v>0</v>
      </c>
      <c r="O60" s="5" t="str">
        <f t="shared" si="0"/>
        <v>Avril</v>
      </c>
      <c r="P60" s="6" t="str">
        <f t="shared" ca="1" si="1"/>
        <v>NON</v>
      </c>
    </row>
    <row r="61" spans="1:16">
      <c r="A61" s="4">
        <v>46115</v>
      </c>
      <c r="B61" s="5" t="s">
        <v>112</v>
      </c>
      <c r="C61" s="5" t="s">
        <v>114</v>
      </c>
      <c r="D61" s="6" t="s">
        <v>14</v>
      </c>
      <c r="E61" s="6" t="s">
        <v>27</v>
      </c>
      <c r="F61" s="7"/>
      <c r="G61" s="8" cm="1">
        <f t="array" ref="G61">IFERROR(
  IF(D61&lt;&gt;"Cédric",
     0,
     SUMPRODUCT(
       (TRIM(SUBSTITUTE(UPPER($B$2:$B61),CHAR(160),""))=TRIM(SUBSTITUTE(UPPER(B61),CHAR(160),"")))*
       (TRIM(SUBSTITUTE(UPPER($C$2:$C61),CHAR(160),""))=TRIM(SUBSTITUTE(UPPER(C61),CHAR(160),"")))*
       (TRIM(SUBSTITUTE(UPPER($D$2:$D61),CHAR(160),""))=TRIM(SUBSTITUTE(UPPER(D61),CHAR(160),"")))*
       (TRIM(SUBSTITUTE(UPPER($E$2:$E61),CHAR(160),""))=TRIM(SUBSTITUTE(UPPER(E61),CHAR(160),"")))
     )
  ),
  0
)</f>
        <v>1</v>
      </c>
      <c r="H61" s="8" cm="1">
        <f t="array" ref="H61">IFERROR(
  IF(D61&lt;&gt;"Geoffroy",
     0,
     SUMPRODUCT(
       (TRIM(SUBSTITUTE(UPPER($B$2:$B61),CHAR(160),""))=TRIM(SUBSTITUTE(UPPER(B61),CHAR(160),"")))*
       (TRIM(SUBSTITUTE(UPPER($C$2:$C61),CHAR(160),""))=TRIM(SUBSTITUTE(UPPER(C61),CHAR(160),"")))*
       (TRIM(SUBSTITUTE(UPPER($D$2:$D61),CHAR(160),""))=TRIM(SUBSTITUTE(UPPER(D61),CHAR(160),"")))*
       (TRIM(SUBSTITUTE(UPPER($E$2:$E61),CHAR(160),""))=TRIM(SUBSTITUTE(UPPER(E61),CHAR(160),"")))
     )
  ),
  0
)</f>
        <v>0</v>
      </c>
      <c r="I61" s="8" cm="1">
        <f t="array" ref="I61">IFERROR(
  IF(D61&lt;&gt;"Tiphaine",
     0,
     SUMPRODUCT(
       (TRIM(SUBSTITUTE(UPPER($B$2:$B61),CHAR(160),""))=TRIM(SUBSTITUTE(UPPER(B61),CHAR(160),"")))*
       (TRIM(SUBSTITUTE(UPPER($C$2:$C61),CHAR(160),""))=TRIM(SUBSTITUTE(UPPER(C61),CHAR(160),"")))*
       (TRIM(SUBSTITUTE(UPPER($D$2:$D61),CHAR(160),""))=TRIM(SUBSTITUTE(UPPER(D61),CHAR(160),"")))*
       (TRIM(SUBSTITUTE(UPPER($E$2:$E61),CHAR(160),""))=TRIM(SUBSTITUTE(UPPER(E61),CHAR(160),"")))
     )
  ),
  0
)</f>
        <v>0</v>
      </c>
      <c r="J61" s="8" cm="1">
        <f t="array" ref="J61">IFERROR(
  IF(D61&lt;&gt;"Catherine",
     0,
     SUMPRODUCT(
       (TRIM(SUBSTITUTE(UPPER($B$2:$B61),CHAR(160),""))=TRIM(SUBSTITUTE(UPPER(B61),CHAR(160),"")))*
       (TRIM(SUBSTITUTE(UPPER($C$2:$C61),CHAR(160),""))=TRIM(SUBSTITUTE(UPPER(C61),CHAR(160),"")))*
       (TRIM(SUBSTITUTE(UPPER($D$2:$D61),CHAR(160),""))=TRIM(SUBSTITUTE(UPPER(D61),CHAR(160),"")))*
       (TRIM(SUBSTITUTE(UPPER($E$2:$E61),CHAR(160),""))=TRIM(SUBSTITUTE(UPPER(E61),CHAR(160),"")))
     )
  ),
  0
)</f>
        <v>0</v>
      </c>
      <c r="K61" s="9">
        <f>IFERROR(
  IF(
    D61&lt;&gt;"Cédric",
    0,
    IF(
      C61="",
      IF(
        COUNTIFS($B$2:B61,B61,$E$2:E61,E61,$D$2:D61,D61)=1,
        INDEX([1]DB!$A:$A,MATCH($E61,[1]DB!$D:$D,0)),
        IF(
          COUNTIFS($B$2:B61,B61,$E$2:E61,E61,$D$2:D61,D61)=2,
          INDEX([1]DB!$B:$B,MATCH($E61,[1]DB!$D:$D,0)),
          INDEX([1]DB!$C:$C,MATCH($E61,[1]DB!$D:$D,0))
        )
      ),
      IF(
        COUNTIFS($C$2:C61,C61,$E$2:E61,E61,$D$2:D61,D61)=1,
        INDEX([1]DB!$A:$A,MATCH($E61,[1]DB!$D:$D,0)),
        IF(
          COUNTIFS($C$2:C61,C61,$E$2:E61,E61,$D$2:D61,D61)=2,
          INDEX([1]DB!$B:$B,MATCH($E61,[1]DB!$D:$D,0)),
          INDEX([1]DB!$C:$C,MATCH($E61,[1]DB!$D:$D,0))
        )
      )
    )
  ),
  0
)</f>
        <v>75</v>
      </c>
      <c r="L61" s="9">
        <f>IFERROR(
  IF(
    D61&lt;&gt;"Geoffroy",
    0,
    IF(
      C61="",
      IF(
        COUNTIFS($B$2:B61,B61,$E$2:E61,E61,$D$2:D61,D61)=1,
        INDEX([1]DB!$A:$A,MATCH($E61,[1]DB!$D:$D,0)),
        IF(
          COUNTIFS($B$2:B61,B61,$E$2:E61,E61,$D$2:D61,D61)=2,
          INDEX([1]DB!$B:$B,MATCH($E61,[1]DB!$D:$D,0)),
          INDEX([1]DB!$C:$C,MATCH($E61,[1]DB!$D:$D,0))
        )
      ),
      IF(
        COUNTIFS($C$2:C61,C61,$E$2:E61,E61,$D$2:D61,D61)=1,
        INDEX([1]DB!$A:$A,MATCH($E61,[1]DB!$D:$D,0)),
        IF(
          COUNTIFS($C$2:C61,C61,$E$2:E61,E61,$D$2:D61,D61)=2,
          INDEX([1]DB!$B:$B,MATCH($E61,[1]DB!$D:$D,0)),
          INDEX([1]DB!$C:$C,MATCH($E61,[1]DB!$D:$D,0))
        )
      )
    )
  ),
  0
)</f>
        <v>0</v>
      </c>
      <c r="M61" s="9">
        <f>IFERROR(
  IF(
    D61&lt;&gt;"Tiphaine",
    0,
    IF(
      C61="",
      IF(
        COUNTIFS($B$2:B61,B61,$E$2:E61,E61,$D$2:D61,D61)=1,
        INDEX([1]DB!$A:$A,MATCH($E61,[1]DB!$D:$D,0)),
        IF(
          COUNTIFS($B$2:B61,B61,$E$2:E61,E61,$D$2:D61,D61)=2,
          INDEX([1]DB!$B:$B,MATCH($E61,[1]DB!$D:$D,0)),
          INDEX([1]DB!$C:$C,MATCH($E61,[1]DB!$D:$D,0))
        )
      ),
      IF(
        COUNTIFS($C$2:C61,C61,$E$2:E61,E61,$D$2:D61,D61)=1,
        INDEX([1]DB!$A:$A,MATCH($E61,[1]DB!$D:$D,0)),
        IF(
          COUNTIFS($C$2:C61,C61,$E$2:E61,E61,$D$2:D61,D61)=2,
          INDEX([1]DB!$B:$B,MATCH($E61,[1]DB!$D:$D,0)),
          INDEX([1]DB!$C:$C,MATCH($E61,[1]DB!$D:$D,0))
        )
      )
    )
  ),
  0
)</f>
        <v>0</v>
      </c>
      <c r="N61" s="9">
        <f>IFERROR(
  IF(
    D61&lt;&gt;"Catherine",
    0,
    IF(
      C61="",
      IF(
        COUNTIFS($B$2:B61,B61,$E$2:E61,E61,$D$2:D61,D61)=1,
        INDEX([1]DB!$A:$A,MATCH($E61,[1]DB!$D:$D,0)),
        IF(
          COUNTIFS($B$2:B61,B61,$E$2:E61,E61,$D$2:D61,D61)=2,
          INDEX([1]DB!$B:$B,MATCH($E61,[1]DB!$D:$D,0)),
          INDEX([1]DB!$C:$C,MATCH($E61,[1]DB!$D:$D,0))
        )
      ),
      IF(
        COUNTIFS($C$2:C61,C61,$E$2:E61,E61,$D$2:D61,D61)=1,
        INDEX([1]DB!$A:$A,MATCH($E61,[1]DB!$D:$D,0)),
        IF(
          COUNTIFS($C$2:C61,C61,$E$2:E61,E61,$D$2:D61,D61)=2,
          INDEX([1]DB!$B:$B,MATCH($E61,[1]DB!$D:$D,0)),
          INDEX([1]DB!$C:$C,MATCH($E61,[1]DB!$D:$D,0))
        )
      )
    )
  ),
  0
)</f>
        <v>0</v>
      </c>
      <c r="O61" s="5" t="str">
        <f t="shared" si="0"/>
        <v>Avril</v>
      </c>
      <c r="P61" s="6" t="str">
        <f t="shared" ca="1" si="1"/>
        <v>NON</v>
      </c>
    </row>
    <row r="62" spans="1:16">
      <c r="A62" s="4">
        <v>46118</v>
      </c>
      <c r="B62" s="5" t="s">
        <v>115</v>
      </c>
      <c r="C62" s="5" t="s">
        <v>116</v>
      </c>
      <c r="D62" s="6" t="s">
        <v>14</v>
      </c>
      <c r="E62" s="6" t="s">
        <v>27</v>
      </c>
      <c r="F62" s="7"/>
      <c r="G62" s="8" cm="1">
        <f t="array" ref="G62">IFERROR(
  IF(D62&lt;&gt;"Cédric",
     0,
     SUMPRODUCT(
       (TRIM(SUBSTITUTE(UPPER($B$2:$B62),CHAR(160),""))=TRIM(SUBSTITUTE(UPPER(B62),CHAR(160),"")))*
       (TRIM(SUBSTITUTE(UPPER($C$2:$C62),CHAR(160),""))=TRIM(SUBSTITUTE(UPPER(C62),CHAR(160),"")))*
       (TRIM(SUBSTITUTE(UPPER($D$2:$D62),CHAR(160),""))=TRIM(SUBSTITUTE(UPPER(D62),CHAR(160),"")))*
       (TRIM(SUBSTITUTE(UPPER($E$2:$E62),CHAR(160),""))=TRIM(SUBSTITUTE(UPPER(E62),CHAR(160),"")))
     )
  ),
  0
)</f>
        <v>1</v>
      </c>
      <c r="H62" s="8" cm="1">
        <f t="array" ref="H62">IFERROR(
  IF(D62&lt;&gt;"Geoffroy",
     0,
     SUMPRODUCT(
       (TRIM(SUBSTITUTE(UPPER($B$2:$B62),CHAR(160),""))=TRIM(SUBSTITUTE(UPPER(B62),CHAR(160),"")))*
       (TRIM(SUBSTITUTE(UPPER($C$2:$C62),CHAR(160),""))=TRIM(SUBSTITUTE(UPPER(C62),CHAR(160),"")))*
       (TRIM(SUBSTITUTE(UPPER($D$2:$D62),CHAR(160),""))=TRIM(SUBSTITUTE(UPPER(D62),CHAR(160),"")))*
       (TRIM(SUBSTITUTE(UPPER($E$2:$E62),CHAR(160),""))=TRIM(SUBSTITUTE(UPPER(E62),CHAR(160),"")))
     )
  ),
  0
)</f>
        <v>0</v>
      </c>
      <c r="I62" s="8" cm="1">
        <f t="array" ref="I62">IFERROR(
  IF(D62&lt;&gt;"Tiphaine",
     0,
     SUMPRODUCT(
       (TRIM(SUBSTITUTE(UPPER($B$2:$B62),CHAR(160),""))=TRIM(SUBSTITUTE(UPPER(B62),CHAR(160),"")))*
       (TRIM(SUBSTITUTE(UPPER($C$2:$C62),CHAR(160),""))=TRIM(SUBSTITUTE(UPPER(C62),CHAR(160),"")))*
       (TRIM(SUBSTITUTE(UPPER($D$2:$D62),CHAR(160),""))=TRIM(SUBSTITUTE(UPPER(D62),CHAR(160),"")))*
       (TRIM(SUBSTITUTE(UPPER($E$2:$E62),CHAR(160),""))=TRIM(SUBSTITUTE(UPPER(E62),CHAR(160),"")))
     )
  ),
  0
)</f>
        <v>0</v>
      </c>
      <c r="J62" s="8" cm="1">
        <f t="array" ref="J62">IFERROR(
  IF(D62&lt;&gt;"Catherine",
     0,
     SUMPRODUCT(
       (TRIM(SUBSTITUTE(UPPER($B$2:$B62),CHAR(160),""))=TRIM(SUBSTITUTE(UPPER(B62),CHAR(160),"")))*
       (TRIM(SUBSTITUTE(UPPER($C$2:$C62),CHAR(160),""))=TRIM(SUBSTITUTE(UPPER(C62),CHAR(160),"")))*
       (TRIM(SUBSTITUTE(UPPER($D$2:$D62),CHAR(160),""))=TRIM(SUBSTITUTE(UPPER(D62),CHAR(160),"")))*
       (TRIM(SUBSTITUTE(UPPER($E$2:$E62),CHAR(160),""))=TRIM(SUBSTITUTE(UPPER(E62),CHAR(160),"")))
     )
  ),
  0
)</f>
        <v>0</v>
      </c>
      <c r="K62" s="9">
        <f>IFERROR(
  IF(
    D62&lt;&gt;"Cédric",
    0,
    IF(
      C62="",
      IF(
        COUNTIFS($B$2:B62,B62,$E$2:E62,E62,$D$2:D62,D62)=1,
        INDEX([1]DB!$A:$A,MATCH($E62,[1]DB!$D:$D,0)),
        IF(
          COUNTIFS($B$2:B62,B62,$E$2:E62,E62,$D$2:D62,D62)=2,
          INDEX([1]DB!$B:$B,MATCH($E62,[1]DB!$D:$D,0)),
          INDEX([1]DB!$C:$C,MATCH($E62,[1]DB!$D:$D,0))
        )
      ),
      IF(
        COUNTIFS($C$2:C62,C62,$E$2:E62,E62,$D$2:D62,D62)=1,
        INDEX([1]DB!$A:$A,MATCH($E62,[1]DB!$D:$D,0)),
        IF(
          COUNTIFS($C$2:C62,C62,$E$2:E62,E62,$D$2:D62,D62)=2,
          INDEX([1]DB!$B:$B,MATCH($E62,[1]DB!$D:$D,0)),
          INDEX([1]DB!$C:$C,MATCH($E62,[1]DB!$D:$D,0))
        )
      )
    )
  ),
  0
)</f>
        <v>75</v>
      </c>
      <c r="L62" s="9">
        <f>IFERROR(
  IF(
    D62&lt;&gt;"Geoffroy",
    0,
    IF(
      C62="",
      IF(
        COUNTIFS($B$2:B62,B62,$E$2:E62,E62,$D$2:D62,D62)=1,
        INDEX([1]DB!$A:$A,MATCH($E62,[1]DB!$D:$D,0)),
        IF(
          COUNTIFS($B$2:B62,B62,$E$2:E62,E62,$D$2:D62,D62)=2,
          INDEX([1]DB!$B:$B,MATCH($E62,[1]DB!$D:$D,0)),
          INDEX([1]DB!$C:$C,MATCH($E62,[1]DB!$D:$D,0))
        )
      ),
      IF(
        COUNTIFS($C$2:C62,C62,$E$2:E62,E62,$D$2:D62,D62)=1,
        INDEX([1]DB!$A:$A,MATCH($E62,[1]DB!$D:$D,0)),
        IF(
          COUNTIFS($C$2:C62,C62,$E$2:E62,E62,$D$2:D62,D62)=2,
          INDEX([1]DB!$B:$B,MATCH($E62,[1]DB!$D:$D,0)),
          INDEX([1]DB!$C:$C,MATCH($E62,[1]DB!$D:$D,0))
        )
      )
    )
  ),
  0
)</f>
        <v>0</v>
      </c>
      <c r="M62" s="9">
        <f>IFERROR(
  IF(
    D62&lt;&gt;"Tiphaine",
    0,
    IF(
      C62="",
      IF(
        COUNTIFS($B$2:B62,B62,$E$2:E62,E62,$D$2:D62,D62)=1,
        INDEX([1]DB!$A:$A,MATCH($E62,[1]DB!$D:$D,0)),
        IF(
          COUNTIFS($B$2:B62,B62,$E$2:E62,E62,$D$2:D62,D62)=2,
          INDEX([1]DB!$B:$B,MATCH($E62,[1]DB!$D:$D,0)),
          INDEX([1]DB!$C:$C,MATCH($E62,[1]DB!$D:$D,0))
        )
      ),
      IF(
        COUNTIFS($C$2:C62,C62,$E$2:E62,E62,$D$2:D62,D62)=1,
        INDEX([1]DB!$A:$A,MATCH($E62,[1]DB!$D:$D,0)),
        IF(
          COUNTIFS($C$2:C62,C62,$E$2:E62,E62,$D$2:D62,D62)=2,
          INDEX([1]DB!$B:$B,MATCH($E62,[1]DB!$D:$D,0)),
          INDEX([1]DB!$C:$C,MATCH($E62,[1]DB!$D:$D,0))
        )
      )
    )
  ),
  0
)</f>
        <v>0</v>
      </c>
      <c r="N62" s="9">
        <f>IFERROR(
  IF(
    D62&lt;&gt;"Catherine",
    0,
    IF(
      C62="",
      IF(
        COUNTIFS($B$2:B62,B62,$E$2:E62,E62,$D$2:D62,D62)=1,
        INDEX([1]DB!$A:$A,MATCH($E62,[1]DB!$D:$D,0)),
        IF(
          COUNTIFS($B$2:B62,B62,$E$2:E62,E62,$D$2:D62,D62)=2,
          INDEX([1]DB!$B:$B,MATCH($E62,[1]DB!$D:$D,0)),
          INDEX([1]DB!$C:$C,MATCH($E62,[1]DB!$D:$D,0))
        )
      ),
      IF(
        COUNTIFS($C$2:C62,C62,$E$2:E62,E62,$D$2:D62,D62)=1,
        INDEX([1]DB!$A:$A,MATCH($E62,[1]DB!$D:$D,0)),
        IF(
          COUNTIFS($C$2:C62,C62,$E$2:E62,E62,$D$2:D62,D62)=2,
          INDEX([1]DB!$B:$B,MATCH($E62,[1]DB!$D:$D,0)),
          INDEX([1]DB!$C:$C,MATCH($E62,[1]DB!$D:$D,0))
        )
      )
    )
  ),
  0
)</f>
        <v>0</v>
      </c>
      <c r="O62" s="5" t="str">
        <f t="shared" si="0"/>
        <v>Avril</v>
      </c>
      <c r="P62" s="6" t="str">
        <f t="shared" ca="1" si="1"/>
        <v>NON</v>
      </c>
    </row>
    <row r="63" spans="1:16">
      <c r="A63" s="4">
        <v>46119</v>
      </c>
      <c r="B63" s="5" t="s">
        <v>117</v>
      </c>
      <c r="C63" s="5" t="s">
        <v>118</v>
      </c>
      <c r="D63" s="6" t="s">
        <v>14</v>
      </c>
      <c r="E63" s="6" t="s">
        <v>27</v>
      </c>
      <c r="F63" s="7"/>
      <c r="G63" s="8" cm="1">
        <f t="array" ref="G63">IFERROR(
  IF(D63&lt;&gt;"Cédric",
     0,
     SUMPRODUCT(
       (TRIM(SUBSTITUTE(UPPER($B$2:$B63),CHAR(160),""))=TRIM(SUBSTITUTE(UPPER(B63),CHAR(160),"")))*
       (TRIM(SUBSTITUTE(UPPER($C$2:$C63),CHAR(160),""))=TRIM(SUBSTITUTE(UPPER(C63),CHAR(160),"")))*
       (TRIM(SUBSTITUTE(UPPER($D$2:$D63),CHAR(160),""))=TRIM(SUBSTITUTE(UPPER(D63),CHAR(160),"")))*
       (TRIM(SUBSTITUTE(UPPER($E$2:$E63),CHAR(160),""))=TRIM(SUBSTITUTE(UPPER(E63),CHAR(160),"")))
     )
  ),
  0
)</f>
        <v>1</v>
      </c>
      <c r="H63" s="8" cm="1">
        <f t="array" ref="H63">IFERROR(
  IF(D63&lt;&gt;"Geoffroy",
     0,
     SUMPRODUCT(
       (TRIM(SUBSTITUTE(UPPER($B$2:$B63),CHAR(160),""))=TRIM(SUBSTITUTE(UPPER(B63),CHAR(160),"")))*
       (TRIM(SUBSTITUTE(UPPER($C$2:$C63),CHAR(160),""))=TRIM(SUBSTITUTE(UPPER(C63),CHAR(160),"")))*
       (TRIM(SUBSTITUTE(UPPER($D$2:$D63),CHAR(160),""))=TRIM(SUBSTITUTE(UPPER(D63),CHAR(160),"")))*
       (TRIM(SUBSTITUTE(UPPER($E$2:$E63),CHAR(160),""))=TRIM(SUBSTITUTE(UPPER(E63),CHAR(160),"")))
     )
  ),
  0
)</f>
        <v>0</v>
      </c>
      <c r="I63" s="8" cm="1">
        <f t="array" ref="I63">IFERROR(
  IF(D63&lt;&gt;"Tiphaine",
     0,
     SUMPRODUCT(
       (TRIM(SUBSTITUTE(UPPER($B$2:$B63),CHAR(160),""))=TRIM(SUBSTITUTE(UPPER(B63),CHAR(160),"")))*
       (TRIM(SUBSTITUTE(UPPER($C$2:$C63),CHAR(160),""))=TRIM(SUBSTITUTE(UPPER(C63),CHAR(160),"")))*
       (TRIM(SUBSTITUTE(UPPER($D$2:$D63),CHAR(160),""))=TRIM(SUBSTITUTE(UPPER(D63),CHAR(160),"")))*
       (TRIM(SUBSTITUTE(UPPER($E$2:$E63),CHAR(160),""))=TRIM(SUBSTITUTE(UPPER(E63),CHAR(160),"")))
     )
  ),
  0
)</f>
        <v>0</v>
      </c>
      <c r="J63" s="8" cm="1">
        <f t="array" ref="J63">IFERROR(
  IF(D63&lt;&gt;"Catherine",
     0,
     SUMPRODUCT(
       (TRIM(SUBSTITUTE(UPPER($B$2:$B63),CHAR(160),""))=TRIM(SUBSTITUTE(UPPER(B63),CHAR(160),"")))*
       (TRIM(SUBSTITUTE(UPPER($C$2:$C63),CHAR(160),""))=TRIM(SUBSTITUTE(UPPER(C63),CHAR(160),"")))*
       (TRIM(SUBSTITUTE(UPPER($D$2:$D63),CHAR(160),""))=TRIM(SUBSTITUTE(UPPER(D63),CHAR(160),"")))*
       (TRIM(SUBSTITUTE(UPPER($E$2:$E63),CHAR(160),""))=TRIM(SUBSTITUTE(UPPER(E63),CHAR(160),"")))
     )
  ),
  0
)</f>
        <v>0</v>
      </c>
      <c r="K63" s="9">
        <f>IFERROR(
  IF(
    D63&lt;&gt;"Cédric",
    0,
    IF(
      C63="",
      IF(
        COUNTIFS($B$2:B63,B63,$E$2:E63,E63,$D$2:D63,D63)=1,
        INDEX([1]DB!$A:$A,MATCH($E63,[1]DB!$D:$D,0)),
        IF(
          COUNTIFS($B$2:B63,B63,$E$2:E63,E63,$D$2:D63,D63)=2,
          INDEX([1]DB!$B:$B,MATCH($E63,[1]DB!$D:$D,0)),
          INDEX([1]DB!$C:$C,MATCH($E63,[1]DB!$D:$D,0))
        )
      ),
      IF(
        COUNTIFS($C$2:C63,C63,$E$2:E63,E63,$D$2:D63,D63)=1,
        INDEX([1]DB!$A:$A,MATCH($E63,[1]DB!$D:$D,0)),
        IF(
          COUNTIFS($C$2:C63,C63,$E$2:E63,E63,$D$2:D63,D63)=2,
          INDEX([1]DB!$B:$B,MATCH($E63,[1]DB!$D:$D,0)),
          INDEX([1]DB!$C:$C,MATCH($E63,[1]DB!$D:$D,0))
        )
      )
    )
  ),
  0
)</f>
        <v>75</v>
      </c>
      <c r="L63" s="9">
        <f>IFERROR(
  IF(
    D63&lt;&gt;"Geoffroy",
    0,
    IF(
      C63="",
      IF(
        COUNTIFS($B$2:B63,B63,$E$2:E63,E63,$D$2:D63,D63)=1,
        INDEX([1]DB!$A:$A,MATCH($E63,[1]DB!$D:$D,0)),
        IF(
          COUNTIFS($B$2:B63,B63,$E$2:E63,E63,$D$2:D63,D63)=2,
          INDEX([1]DB!$B:$B,MATCH($E63,[1]DB!$D:$D,0)),
          INDEX([1]DB!$C:$C,MATCH($E63,[1]DB!$D:$D,0))
        )
      ),
      IF(
        COUNTIFS($C$2:C63,C63,$E$2:E63,E63,$D$2:D63,D63)=1,
        INDEX([1]DB!$A:$A,MATCH($E63,[1]DB!$D:$D,0)),
        IF(
          COUNTIFS($C$2:C63,C63,$E$2:E63,E63,$D$2:D63,D63)=2,
          INDEX([1]DB!$B:$B,MATCH($E63,[1]DB!$D:$D,0)),
          INDEX([1]DB!$C:$C,MATCH($E63,[1]DB!$D:$D,0))
        )
      )
    )
  ),
  0
)</f>
        <v>0</v>
      </c>
      <c r="M63" s="9">
        <f>IFERROR(
  IF(
    D63&lt;&gt;"Tiphaine",
    0,
    IF(
      C63="",
      IF(
        COUNTIFS($B$2:B63,B63,$E$2:E63,E63,$D$2:D63,D63)=1,
        INDEX([1]DB!$A:$A,MATCH($E63,[1]DB!$D:$D,0)),
        IF(
          COUNTIFS($B$2:B63,B63,$E$2:E63,E63,$D$2:D63,D63)=2,
          INDEX([1]DB!$B:$B,MATCH($E63,[1]DB!$D:$D,0)),
          INDEX([1]DB!$C:$C,MATCH($E63,[1]DB!$D:$D,0))
        )
      ),
      IF(
        COUNTIFS($C$2:C63,C63,$E$2:E63,E63,$D$2:D63,D63)=1,
        INDEX([1]DB!$A:$A,MATCH($E63,[1]DB!$D:$D,0)),
        IF(
          COUNTIFS($C$2:C63,C63,$E$2:E63,E63,$D$2:D63,D63)=2,
          INDEX([1]DB!$B:$B,MATCH($E63,[1]DB!$D:$D,0)),
          INDEX([1]DB!$C:$C,MATCH($E63,[1]DB!$D:$D,0))
        )
      )
    )
  ),
  0
)</f>
        <v>0</v>
      </c>
      <c r="N63" s="9">
        <f>IFERROR(
  IF(
    D63&lt;&gt;"Catherine",
    0,
    IF(
      C63="",
      IF(
        COUNTIFS($B$2:B63,B63,$E$2:E63,E63,$D$2:D63,D63)=1,
        INDEX([1]DB!$A:$A,MATCH($E63,[1]DB!$D:$D,0)),
        IF(
          COUNTIFS($B$2:B63,B63,$E$2:E63,E63,$D$2:D63,D63)=2,
          INDEX([1]DB!$B:$B,MATCH($E63,[1]DB!$D:$D,0)),
          INDEX([1]DB!$C:$C,MATCH($E63,[1]DB!$D:$D,0))
        )
      ),
      IF(
        COUNTIFS($C$2:C63,C63,$E$2:E63,E63,$D$2:D63,D63)=1,
        INDEX([1]DB!$A:$A,MATCH($E63,[1]DB!$D:$D,0)),
        IF(
          COUNTIFS($C$2:C63,C63,$E$2:E63,E63,$D$2:D63,D63)=2,
          INDEX([1]DB!$B:$B,MATCH($E63,[1]DB!$D:$D,0)),
          INDEX([1]DB!$C:$C,MATCH($E63,[1]DB!$D:$D,0))
        )
      )
    )
  ),
  0
)</f>
        <v>0</v>
      </c>
      <c r="O63" s="5" t="str">
        <f t="shared" si="0"/>
        <v>Avril</v>
      </c>
      <c r="P63" s="6" t="str">
        <f t="shared" ca="1" si="1"/>
        <v>NON</v>
      </c>
    </row>
    <row r="64" spans="1:16">
      <c r="A64" s="4">
        <v>46121</v>
      </c>
      <c r="B64" s="5" t="s">
        <v>115</v>
      </c>
      <c r="C64" s="5" t="s">
        <v>119</v>
      </c>
      <c r="D64" s="6" t="s">
        <v>14</v>
      </c>
      <c r="E64" s="6" t="s">
        <v>27</v>
      </c>
      <c r="F64" s="7"/>
      <c r="G64" s="8" cm="1">
        <f t="array" ref="G64">IFERROR(
  IF(D64&lt;&gt;"Cédric",
     0,
     SUMPRODUCT(
       (TRIM(SUBSTITUTE(UPPER($B$2:$B64),CHAR(160),""))=TRIM(SUBSTITUTE(UPPER(B64),CHAR(160),"")))*
       (TRIM(SUBSTITUTE(UPPER($C$2:$C64),CHAR(160),""))=TRIM(SUBSTITUTE(UPPER(C64),CHAR(160),"")))*
       (TRIM(SUBSTITUTE(UPPER($D$2:$D64),CHAR(160),""))=TRIM(SUBSTITUTE(UPPER(D64),CHAR(160),"")))*
       (TRIM(SUBSTITUTE(UPPER($E$2:$E64),CHAR(160),""))=TRIM(SUBSTITUTE(UPPER(E64),CHAR(160),"")))
     )
  ),
  0
)</f>
        <v>1</v>
      </c>
      <c r="H64" s="8" cm="1">
        <f t="array" ref="H64">IFERROR(
  IF(D64&lt;&gt;"Geoffroy",
     0,
     SUMPRODUCT(
       (TRIM(SUBSTITUTE(UPPER($B$2:$B64),CHAR(160),""))=TRIM(SUBSTITUTE(UPPER(B64),CHAR(160),"")))*
       (TRIM(SUBSTITUTE(UPPER($C$2:$C64),CHAR(160),""))=TRIM(SUBSTITUTE(UPPER(C64),CHAR(160),"")))*
       (TRIM(SUBSTITUTE(UPPER($D$2:$D64),CHAR(160),""))=TRIM(SUBSTITUTE(UPPER(D64),CHAR(160),"")))*
       (TRIM(SUBSTITUTE(UPPER($E$2:$E64),CHAR(160),""))=TRIM(SUBSTITUTE(UPPER(E64),CHAR(160),"")))
     )
  ),
  0
)</f>
        <v>0</v>
      </c>
      <c r="I64" s="8" cm="1">
        <f t="array" ref="I64">IFERROR(
  IF(D64&lt;&gt;"Tiphaine",
     0,
     SUMPRODUCT(
       (TRIM(SUBSTITUTE(UPPER($B$2:$B64),CHAR(160),""))=TRIM(SUBSTITUTE(UPPER(B64),CHAR(160),"")))*
       (TRIM(SUBSTITUTE(UPPER($C$2:$C64),CHAR(160),""))=TRIM(SUBSTITUTE(UPPER(C64),CHAR(160),"")))*
       (TRIM(SUBSTITUTE(UPPER($D$2:$D64),CHAR(160),""))=TRIM(SUBSTITUTE(UPPER(D64),CHAR(160),"")))*
       (TRIM(SUBSTITUTE(UPPER($E$2:$E64),CHAR(160),""))=TRIM(SUBSTITUTE(UPPER(E64),CHAR(160),"")))
     )
  ),
  0
)</f>
        <v>0</v>
      </c>
      <c r="J64" s="8" cm="1">
        <f t="array" ref="J64">IFERROR(
  IF(D64&lt;&gt;"Catherine",
     0,
     SUMPRODUCT(
       (TRIM(SUBSTITUTE(UPPER($B$2:$B64),CHAR(160),""))=TRIM(SUBSTITUTE(UPPER(B64),CHAR(160),"")))*
       (TRIM(SUBSTITUTE(UPPER($C$2:$C64),CHAR(160),""))=TRIM(SUBSTITUTE(UPPER(C64),CHAR(160),"")))*
       (TRIM(SUBSTITUTE(UPPER($D$2:$D64),CHAR(160),""))=TRIM(SUBSTITUTE(UPPER(D64),CHAR(160),"")))*
       (TRIM(SUBSTITUTE(UPPER($E$2:$E64),CHAR(160),""))=TRIM(SUBSTITUTE(UPPER(E64),CHAR(160),"")))
     )
  ),
  0
)</f>
        <v>0</v>
      </c>
      <c r="K64" s="9">
        <f>IFERROR(
  IF(
    D64&lt;&gt;"Cédric",
    0,
    IF(
      C64="",
      IF(
        COUNTIFS($B$2:B64,B64,$E$2:E64,E64,$D$2:D64,D64)=1,
        INDEX([1]DB!$A:$A,MATCH($E64,[1]DB!$D:$D,0)),
        IF(
          COUNTIFS($B$2:B64,B64,$E$2:E64,E64,$D$2:D64,D64)=2,
          INDEX([1]DB!$B:$B,MATCH($E64,[1]DB!$D:$D,0)),
          INDEX([1]DB!$C:$C,MATCH($E64,[1]DB!$D:$D,0))
        )
      ),
      IF(
        COUNTIFS($C$2:C64,C64,$E$2:E64,E64,$D$2:D64,D64)=1,
        INDEX([1]DB!$A:$A,MATCH($E64,[1]DB!$D:$D,0)),
        IF(
          COUNTIFS($C$2:C64,C64,$E$2:E64,E64,$D$2:D64,D64)=2,
          INDEX([1]DB!$B:$B,MATCH($E64,[1]DB!$D:$D,0)),
          INDEX([1]DB!$C:$C,MATCH($E64,[1]DB!$D:$D,0))
        )
      )
    )
  ),
  0
)</f>
        <v>75</v>
      </c>
      <c r="L64" s="9">
        <f>IFERROR(
  IF(
    D64&lt;&gt;"Geoffroy",
    0,
    IF(
      C64="",
      IF(
        COUNTIFS($B$2:B64,B64,$E$2:E64,E64,$D$2:D64,D64)=1,
        INDEX([1]DB!$A:$A,MATCH($E64,[1]DB!$D:$D,0)),
        IF(
          COUNTIFS($B$2:B64,B64,$E$2:E64,E64,$D$2:D64,D64)=2,
          INDEX([1]DB!$B:$B,MATCH($E64,[1]DB!$D:$D,0)),
          INDEX([1]DB!$C:$C,MATCH($E64,[1]DB!$D:$D,0))
        )
      ),
      IF(
        COUNTIFS($C$2:C64,C64,$E$2:E64,E64,$D$2:D64,D64)=1,
        INDEX([1]DB!$A:$A,MATCH($E64,[1]DB!$D:$D,0)),
        IF(
          COUNTIFS($C$2:C64,C64,$E$2:E64,E64,$D$2:D64,D64)=2,
          INDEX([1]DB!$B:$B,MATCH($E64,[1]DB!$D:$D,0)),
          INDEX([1]DB!$C:$C,MATCH($E64,[1]DB!$D:$D,0))
        )
      )
    )
  ),
  0
)</f>
        <v>0</v>
      </c>
      <c r="M64" s="9">
        <f>IFERROR(
  IF(
    D64&lt;&gt;"Tiphaine",
    0,
    IF(
      C64="",
      IF(
        COUNTIFS($B$2:B64,B64,$E$2:E64,E64,$D$2:D64,D64)=1,
        INDEX([1]DB!$A:$A,MATCH($E64,[1]DB!$D:$D,0)),
        IF(
          COUNTIFS($B$2:B64,B64,$E$2:E64,E64,$D$2:D64,D64)=2,
          INDEX([1]DB!$B:$B,MATCH($E64,[1]DB!$D:$D,0)),
          INDEX([1]DB!$C:$C,MATCH($E64,[1]DB!$D:$D,0))
        )
      ),
      IF(
        COUNTIFS($C$2:C64,C64,$E$2:E64,E64,$D$2:D64,D64)=1,
        INDEX([1]DB!$A:$A,MATCH($E64,[1]DB!$D:$D,0)),
        IF(
          COUNTIFS($C$2:C64,C64,$E$2:E64,E64,$D$2:D64,D64)=2,
          INDEX([1]DB!$B:$B,MATCH($E64,[1]DB!$D:$D,0)),
          INDEX([1]DB!$C:$C,MATCH($E64,[1]DB!$D:$D,0))
        )
      )
    )
  ),
  0
)</f>
        <v>0</v>
      </c>
      <c r="N64" s="9">
        <f>IFERROR(
  IF(
    D64&lt;&gt;"Catherine",
    0,
    IF(
      C64="",
      IF(
        COUNTIFS($B$2:B64,B64,$E$2:E64,E64,$D$2:D64,D64)=1,
        INDEX([1]DB!$A:$A,MATCH($E64,[1]DB!$D:$D,0)),
        IF(
          COUNTIFS($B$2:B64,B64,$E$2:E64,E64,$D$2:D64,D64)=2,
          INDEX([1]DB!$B:$B,MATCH($E64,[1]DB!$D:$D,0)),
          INDEX([1]DB!$C:$C,MATCH($E64,[1]DB!$D:$D,0))
        )
      ),
      IF(
        COUNTIFS($C$2:C64,C64,$E$2:E64,E64,$D$2:D64,D64)=1,
        INDEX([1]DB!$A:$A,MATCH($E64,[1]DB!$D:$D,0)),
        IF(
          COUNTIFS($C$2:C64,C64,$E$2:E64,E64,$D$2:D64,D64)=2,
          INDEX([1]DB!$B:$B,MATCH($E64,[1]DB!$D:$D,0)),
          INDEX([1]DB!$C:$C,MATCH($E64,[1]DB!$D:$D,0))
        )
      )
    )
  ),
  0
)</f>
        <v>0</v>
      </c>
      <c r="O64" s="5" t="str">
        <f t="shared" si="0"/>
        <v>Avril</v>
      </c>
      <c r="P64" s="6" t="str">
        <f t="shared" ca="1" si="1"/>
        <v>NON</v>
      </c>
    </row>
    <row r="65" spans="1:16">
      <c r="A65" s="4">
        <v>46126</v>
      </c>
      <c r="B65" s="5" t="s">
        <v>117</v>
      </c>
      <c r="C65" s="5" t="s">
        <v>120</v>
      </c>
      <c r="D65" s="6" t="s">
        <v>14</v>
      </c>
      <c r="E65" s="6" t="s">
        <v>27</v>
      </c>
      <c r="F65" s="7"/>
      <c r="G65" s="8" cm="1">
        <f t="array" ref="G65">IFERROR(
  IF(D65&lt;&gt;"Cédric",
     0,
     SUMPRODUCT(
       (TRIM(SUBSTITUTE(UPPER($B$2:$B65),CHAR(160),""))=TRIM(SUBSTITUTE(UPPER(B65),CHAR(160),"")))*
       (TRIM(SUBSTITUTE(UPPER($C$2:$C65),CHAR(160),""))=TRIM(SUBSTITUTE(UPPER(C65),CHAR(160),"")))*
       (TRIM(SUBSTITUTE(UPPER($D$2:$D65),CHAR(160),""))=TRIM(SUBSTITUTE(UPPER(D65),CHAR(160),"")))*
       (TRIM(SUBSTITUTE(UPPER($E$2:$E65),CHAR(160),""))=TRIM(SUBSTITUTE(UPPER(E65),CHAR(160),"")))
     )
  ),
  0
)</f>
        <v>1</v>
      </c>
      <c r="H65" s="8" cm="1">
        <f t="array" ref="H65">IFERROR(
  IF(D65&lt;&gt;"Geoffroy",
     0,
     SUMPRODUCT(
       (TRIM(SUBSTITUTE(UPPER($B$2:$B65),CHAR(160),""))=TRIM(SUBSTITUTE(UPPER(B65),CHAR(160),"")))*
       (TRIM(SUBSTITUTE(UPPER($C$2:$C65),CHAR(160),""))=TRIM(SUBSTITUTE(UPPER(C65),CHAR(160),"")))*
       (TRIM(SUBSTITUTE(UPPER($D$2:$D65),CHAR(160),""))=TRIM(SUBSTITUTE(UPPER(D65),CHAR(160),"")))*
       (TRIM(SUBSTITUTE(UPPER($E$2:$E65),CHAR(160),""))=TRIM(SUBSTITUTE(UPPER(E65),CHAR(160),"")))
     )
  ),
  0
)</f>
        <v>0</v>
      </c>
      <c r="I65" s="8" cm="1">
        <f t="array" ref="I65">IFERROR(
  IF(D65&lt;&gt;"Tiphaine",
     0,
     SUMPRODUCT(
       (TRIM(SUBSTITUTE(UPPER($B$2:$B65),CHAR(160),""))=TRIM(SUBSTITUTE(UPPER(B65),CHAR(160),"")))*
       (TRIM(SUBSTITUTE(UPPER($C$2:$C65),CHAR(160),""))=TRIM(SUBSTITUTE(UPPER(C65),CHAR(160),"")))*
       (TRIM(SUBSTITUTE(UPPER($D$2:$D65),CHAR(160),""))=TRIM(SUBSTITUTE(UPPER(D65),CHAR(160),"")))*
       (TRIM(SUBSTITUTE(UPPER($E$2:$E65),CHAR(160),""))=TRIM(SUBSTITUTE(UPPER(E65),CHAR(160),"")))
     )
  ),
  0
)</f>
        <v>0</v>
      </c>
      <c r="J65" s="8" cm="1">
        <f t="array" ref="J65">IFERROR(
  IF(D65&lt;&gt;"Catherine",
     0,
     SUMPRODUCT(
       (TRIM(SUBSTITUTE(UPPER($B$2:$B65),CHAR(160),""))=TRIM(SUBSTITUTE(UPPER(B65),CHAR(160),"")))*
       (TRIM(SUBSTITUTE(UPPER($C$2:$C65),CHAR(160),""))=TRIM(SUBSTITUTE(UPPER(C65),CHAR(160),"")))*
       (TRIM(SUBSTITUTE(UPPER($D$2:$D65),CHAR(160),""))=TRIM(SUBSTITUTE(UPPER(D65),CHAR(160),"")))*
       (TRIM(SUBSTITUTE(UPPER($E$2:$E65),CHAR(160),""))=TRIM(SUBSTITUTE(UPPER(E65),CHAR(160),"")))
     )
  ),
  0
)</f>
        <v>0</v>
      </c>
      <c r="K65" s="9">
        <f>IFERROR(
  IF(
    D65&lt;&gt;"Cédric",
    0,
    IF(
      C65="",
      IF(
        COUNTIFS($B$2:B65,B65,$E$2:E65,E65,$D$2:D65,D65)=1,
        INDEX([1]DB!$A:$A,MATCH($E65,[1]DB!$D:$D,0)),
        IF(
          COUNTIFS($B$2:B65,B65,$E$2:E65,E65,$D$2:D65,D65)=2,
          INDEX([1]DB!$B:$B,MATCH($E65,[1]DB!$D:$D,0)),
          INDEX([1]DB!$C:$C,MATCH($E65,[1]DB!$D:$D,0))
        )
      ),
      IF(
        COUNTIFS($C$2:C65,C65,$E$2:E65,E65,$D$2:D65,D65)=1,
        INDEX([1]DB!$A:$A,MATCH($E65,[1]DB!$D:$D,0)),
        IF(
          COUNTIFS($C$2:C65,C65,$E$2:E65,E65,$D$2:D65,D65)=2,
          INDEX([1]DB!$B:$B,MATCH($E65,[1]DB!$D:$D,0)),
          INDEX([1]DB!$C:$C,MATCH($E65,[1]DB!$D:$D,0))
        )
      )
    )
  ),
  0
)</f>
        <v>75</v>
      </c>
      <c r="L65" s="9">
        <f>IFERROR(
  IF(
    D65&lt;&gt;"Geoffroy",
    0,
    IF(
      C65="",
      IF(
        COUNTIFS($B$2:B65,B65,$E$2:E65,E65,$D$2:D65,D65)=1,
        INDEX([1]DB!$A:$A,MATCH($E65,[1]DB!$D:$D,0)),
        IF(
          COUNTIFS($B$2:B65,B65,$E$2:E65,E65,$D$2:D65,D65)=2,
          INDEX([1]DB!$B:$B,MATCH($E65,[1]DB!$D:$D,0)),
          INDEX([1]DB!$C:$C,MATCH($E65,[1]DB!$D:$D,0))
        )
      ),
      IF(
        COUNTIFS($C$2:C65,C65,$E$2:E65,E65,$D$2:D65,D65)=1,
        INDEX([1]DB!$A:$A,MATCH($E65,[1]DB!$D:$D,0)),
        IF(
          COUNTIFS($C$2:C65,C65,$E$2:E65,E65,$D$2:D65,D65)=2,
          INDEX([1]DB!$B:$B,MATCH($E65,[1]DB!$D:$D,0)),
          INDEX([1]DB!$C:$C,MATCH($E65,[1]DB!$D:$D,0))
        )
      )
    )
  ),
  0
)</f>
        <v>0</v>
      </c>
      <c r="M65" s="9">
        <f>IFERROR(
  IF(
    D65&lt;&gt;"Tiphaine",
    0,
    IF(
      C65="",
      IF(
        COUNTIFS($B$2:B65,B65,$E$2:E65,E65,$D$2:D65,D65)=1,
        INDEX([1]DB!$A:$A,MATCH($E65,[1]DB!$D:$D,0)),
        IF(
          COUNTIFS($B$2:B65,B65,$E$2:E65,E65,$D$2:D65,D65)=2,
          INDEX([1]DB!$B:$B,MATCH($E65,[1]DB!$D:$D,0)),
          INDEX([1]DB!$C:$C,MATCH($E65,[1]DB!$D:$D,0))
        )
      ),
      IF(
        COUNTIFS($C$2:C65,C65,$E$2:E65,E65,$D$2:D65,D65)=1,
        INDEX([1]DB!$A:$A,MATCH($E65,[1]DB!$D:$D,0)),
        IF(
          COUNTIFS($C$2:C65,C65,$E$2:E65,E65,$D$2:D65,D65)=2,
          INDEX([1]DB!$B:$B,MATCH($E65,[1]DB!$D:$D,0)),
          INDEX([1]DB!$C:$C,MATCH($E65,[1]DB!$D:$D,0))
        )
      )
    )
  ),
  0
)</f>
        <v>0</v>
      </c>
      <c r="N65" s="9">
        <f>IFERROR(
  IF(
    D65&lt;&gt;"Catherine",
    0,
    IF(
      C65="",
      IF(
        COUNTIFS($B$2:B65,B65,$E$2:E65,E65,$D$2:D65,D65)=1,
        INDEX([1]DB!$A:$A,MATCH($E65,[1]DB!$D:$D,0)),
        IF(
          COUNTIFS($B$2:B65,B65,$E$2:E65,E65,$D$2:D65,D65)=2,
          INDEX([1]DB!$B:$B,MATCH($E65,[1]DB!$D:$D,0)),
          INDEX([1]DB!$C:$C,MATCH($E65,[1]DB!$D:$D,0))
        )
      ),
      IF(
        COUNTIFS($C$2:C65,C65,$E$2:E65,E65,$D$2:D65,D65)=1,
        INDEX([1]DB!$A:$A,MATCH($E65,[1]DB!$D:$D,0)),
        IF(
          COUNTIFS($C$2:C65,C65,$E$2:E65,E65,$D$2:D65,D65)=2,
          INDEX([1]DB!$B:$B,MATCH($E65,[1]DB!$D:$D,0)),
          INDEX([1]DB!$C:$C,MATCH($E65,[1]DB!$D:$D,0))
        )
      )
    )
  ),
  0
)</f>
        <v>0</v>
      </c>
      <c r="O65" s="5" t="str">
        <f t="shared" si="0"/>
        <v>Avril</v>
      </c>
      <c r="P65" s="6" t="str">
        <f t="shared" ca="1" si="1"/>
        <v>NON</v>
      </c>
    </row>
    <row r="66" spans="1:16">
      <c r="A66" s="4">
        <v>46128</v>
      </c>
      <c r="B66" s="5" t="s">
        <v>117</v>
      </c>
      <c r="C66" s="5" t="s">
        <v>121</v>
      </c>
      <c r="D66" s="6" t="s">
        <v>14</v>
      </c>
      <c r="E66" s="6" t="s">
        <v>27</v>
      </c>
      <c r="F66" s="7"/>
      <c r="G66" s="8" cm="1">
        <f t="array" ref="G66">IFERROR(
  IF(D66&lt;&gt;"Cédric",
     0,
     SUMPRODUCT(
       (TRIM(SUBSTITUTE(UPPER($B$2:$B66),CHAR(160),""))=TRIM(SUBSTITUTE(UPPER(B66),CHAR(160),"")))*
       (TRIM(SUBSTITUTE(UPPER($C$2:$C66),CHAR(160),""))=TRIM(SUBSTITUTE(UPPER(C66),CHAR(160),"")))*
       (TRIM(SUBSTITUTE(UPPER($D$2:$D66),CHAR(160),""))=TRIM(SUBSTITUTE(UPPER(D66),CHAR(160),"")))*
       (TRIM(SUBSTITUTE(UPPER($E$2:$E66),CHAR(160),""))=TRIM(SUBSTITUTE(UPPER(E66),CHAR(160),"")))
     )
  ),
  0
)</f>
        <v>1</v>
      </c>
      <c r="H66" s="8" cm="1">
        <f t="array" ref="H66">IFERROR(
  IF(D66&lt;&gt;"Geoffroy",
     0,
     SUMPRODUCT(
       (TRIM(SUBSTITUTE(UPPER($B$2:$B66),CHAR(160),""))=TRIM(SUBSTITUTE(UPPER(B66),CHAR(160),"")))*
       (TRIM(SUBSTITUTE(UPPER($C$2:$C66),CHAR(160),""))=TRIM(SUBSTITUTE(UPPER(C66),CHAR(160),"")))*
       (TRIM(SUBSTITUTE(UPPER($D$2:$D66),CHAR(160),""))=TRIM(SUBSTITUTE(UPPER(D66),CHAR(160),"")))*
       (TRIM(SUBSTITUTE(UPPER($E$2:$E66),CHAR(160),""))=TRIM(SUBSTITUTE(UPPER(E66),CHAR(160),"")))
     )
  ),
  0
)</f>
        <v>0</v>
      </c>
      <c r="I66" s="8" cm="1">
        <f t="array" ref="I66">IFERROR(
  IF(D66&lt;&gt;"Tiphaine",
     0,
     SUMPRODUCT(
       (TRIM(SUBSTITUTE(UPPER($B$2:$B66),CHAR(160),""))=TRIM(SUBSTITUTE(UPPER(B66),CHAR(160),"")))*
       (TRIM(SUBSTITUTE(UPPER($C$2:$C66),CHAR(160),""))=TRIM(SUBSTITUTE(UPPER(C66),CHAR(160),"")))*
       (TRIM(SUBSTITUTE(UPPER($D$2:$D66),CHAR(160),""))=TRIM(SUBSTITUTE(UPPER(D66),CHAR(160),"")))*
       (TRIM(SUBSTITUTE(UPPER($E$2:$E66),CHAR(160),""))=TRIM(SUBSTITUTE(UPPER(E66),CHAR(160),"")))
     )
  ),
  0
)</f>
        <v>0</v>
      </c>
      <c r="J66" s="8" cm="1">
        <f t="array" ref="J66">IFERROR(
  IF(D66&lt;&gt;"Catherine",
     0,
     SUMPRODUCT(
       (TRIM(SUBSTITUTE(UPPER($B$2:$B66),CHAR(160),""))=TRIM(SUBSTITUTE(UPPER(B66),CHAR(160),"")))*
       (TRIM(SUBSTITUTE(UPPER($C$2:$C66),CHAR(160),""))=TRIM(SUBSTITUTE(UPPER(C66),CHAR(160),"")))*
       (TRIM(SUBSTITUTE(UPPER($D$2:$D66),CHAR(160),""))=TRIM(SUBSTITUTE(UPPER(D66),CHAR(160),"")))*
       (TRIM(SUBSTITUTE(UPPER($E$2:$E66),CHAR(160),""))=TRIM(SUBSTITUTE(UPPER(E66),CHAR(160),"")))
     )
  ),
  0
)</f>
        <v>0</v>
      </c>
      <c r="K66" s="9">
        <f>IFERROR(
  IF(
    D66&lt;&gt;"Cédric",
    0,
    IF(
      C66="",
      IF(
        COUNTIFS($B$2:B66,B66,$E$2:E66,E66,$D$2:D66,D66)=1,
        INDEX([1]DB!$A:$A,MATCH($E66,[1]DB!$D:$D,0)),
        IF(
          COUNTIFS($B$2:B66,B66,$E$2:E66,E66,$D$2:D66,D66)=2,
          INDEX([1]DB!$B:$B,MATCH($E66,[1]DB!$D:$D,0)),
          INDEX([1]DB!$C:$C,MATCH($E66,[1]DB!$D:$D,0))
        )
      ),
      IF(
        COUNTIFS($C$2:C66,C66,$E$2:E66,E66,$D$2:D66,D66)=1,
        INDEX([1]DB!$A:$A,MATCH($E66,[1]DB!$D:$D,0)),
        IF(
          COUNTIFS($C$2:C66,C66,$E$2:E66,E66,$D$2:D66,D66)=2,
          INDEX([1]DB!$B:$B,MATCH($E66,[1]DB!$D:$D,0)),
          INDEX([1]DB!$C:$C,MATCH($E66,[1]DB!$D:$D,0))
        )
      )
    )
  ),
  0
)</f>
        <v>75</v>
      </c>
      <c r="L66" s="9">
        <f>IFERROR(
  IF(
    D66&lt;&gt;"Geoffroy",
    0,
    IF(
      C66="",
      IF(
        COUNTIFS($B$2:B66,B66,$E$2:E66,E66,$D$2:D66,D66)=1,
        INDEX([1]DB!$A:$A,MATCH($E66,[1]DB!$D:$D,0)),
        IF(
          COUNTIFS($B$2:B66,B66,$E$2:E66,E66,$D$2:D66,D66)=2,
          INDEX([1]DB!$B:$B,MATCH($E66,[1]DB!$D:$D,0)),
          INDEX([1]DB!$C:$C,MATCH($E66,[1]DB!$D:$D,0))
        )
      ),
      IF(
        COUNTIFS($C$2:C66,C66,$E$2:E66,E66,$D$2:D66,D66)=1,
        INDEX([1]DB!$A:$A,MATCH($E66,[1]DB!$D:$D,0)),
        IF(
          COUNTIFS($C$2:C66,C66,$E$2:E66,E66,$D$2:D66,D66)=2,
          INDEX([1]DB!$B:$B,MATCH($E66,[1]DB!$D:$D,0)),
          INDEX([1]DB!$C:$C,MATCH($E66,[1]DB!$D:$D,0))
        )
      )
    )
  ),
  0
)</f>
        <v>0</v>
      </c>
      <c r="M66" s="9">
        <f>IFERROR(
  IF(
    D66&lt;&gt;"Tiphaine",
    0,
    IF(
      C66="",
      IF(
        COUNTIFS($B$2:B66,B66,$E$2:E66,E66,$D$2:D66,D66)=1,
        INDEX([1]DB!$A:$A,MATCH($E66,[1]DB!$D:$D,0)),
        IF(
          COUNTIFS($B$2:B66,B66,$E$2:E66,E66,$D$2:D66,D66)=2,
          INDEX([1]DB!$B:$B,MATCH($E66,[1]DB!$D:$D,0)),
          INDEX([1]DB!$C:$C,MATCH($E66,[1]DB!$D:$D,0))
        )
      ),
      IF(
        COUNTIFS($C$2:C66,C66,$E$2:E66,E66,$D$2:D66,D66)=1,
        INDEX([1]DB!$A:$A,MATCH($E66,[1]DB!$D:$D,0)),
        IF(
          COUNTIFS($C$2:C66,C66,$E$2:E66,E66,$D$2:D66,D66)=2,
          INDEX([1]DB!$B:$B,MATCH($E66,[1]DB!$D:$D,0)),
          INDEX([1]DB!$C:$C,MATCH($E66,[1]DB!$D:$D,0))
        )
      )
    )
  ),
  0
)</f>
        <v>0</v>
      </c>
      <c r="N66" s="9">
        <f>IFERROR(
  IF(
    D66&lt;&gt;"Catherine",
    0,
    IF(
      C66="",
      IF(
        COUNTIFS($B$2:B66,B66,$E$2:E66,E66,$D$2:D66,D66)=1,
        INDEX([1]DB!$A:$A,MATCH($E66,[1]DB!$D:$D,0)),
        IF(
          COUNTIFS($B$2:B66,B66,$E$2:E66,E66,$D$2:D66,D66)=2,
          INDEX([1]DB!$B:$B,MATCH($E66,[1]DB!$D:$D,0)),
          INDEX([1]DB!$C:$C,MATCH($E66,[1]DB!$D:$D,0))
        )
      ),
      IF(
        COUNTIFS($C$2:C66,C66,$E$2:E66,E66,$D$2:D66,D66)=1,
        INDEX([1]DB!$A:$A,MATCH($E66,[1]DB!$D:$D,0)),
        IF(
          COUNTIFS($C$2:C66,C66,$E$2:E66,E66,$D$2:D66,D66)=2,
          INDEX([1]DB!$B:$B,MATCH($E66,[1]DB!$D:$D,0)),
          INDEX([1]DB!$C:$C,MATCH($E66,[1]DB!$D:$D,0))
        )
      )
    )
  ),
  0
)</f>
        <v>0</v>
      </c>
      <c r="O66" s="5" t="str">
        <f t="shared" si="0"/>
        <v>Mai</v>
      </c>
      <c r="P66" s="6" t="str">
        <f t="shared" ca="1" si="1"/>
        <v>NON</v>
      </c>
    </row>
    <row r="67" spans="1:16">
      <c r="A67" s="4">
        <v>46135</v>
      </c>
      <c r="B67" s="5" t="s">
        <v>122</v>
      </c>
      <c r="C67" s="5" t="s">
        <v>123</v>
      </c>
      <c r="D67" s="6" t="s">
        <v>14</v>
      </c>
      <c r="E67" s="6" t="s">
        <v>27</v>
      </c>
      <c r="F67" s="7"/>
      <c r="G67" s="8" cm="1">
        <f t="array" ref="G67">IFERROR(
  IF(D67&lt;&gt;"Cédric",
     0,
     SUMPRODUCT(
       (TRIM(SUBSTITUTE(UPPER($B$2:$B67),CHAR(160),""))=TRIM(SUBSTITUTE(UPPER(B67),CHAR(160),"")))*
       (TRIM(SUBSTITUTE(UPPER($C$2:$C67),CHAR(160),""))=TRIM(SUBSTITUTE(UPPER(C67),CHAR(160),"")))*
       (TRIM(SUBSTITUTE(UPPER($D$2:$D67),CHAR(160),""))=TRIM(SUBSTITUTE(UPPER(D67),CHAR(160),"")))*
       (TRIM(SUBSTITUTE(UPPER($E$2:$E67),CHAR(160),""))=TRIM(SUBSTITUTE(UPPER(E67),CHAR(160),"")))
     )
  ),
  0
)</f>
        <v>1</v>
      </c>
      <c r="H67" s="8" cm="1">
        <f t="array" ref="H67">IFERROR(
  IF(D67&lt;&gt;"Geoffroy",
     0,
     SUMPRODUCT(
       (TRIM(SUBSTITUTE(UPPER($B$2:$B67),CHAR(160),""))=TRIM(SUBSTITUTE(UPPER(B67),CHAR(160),"")))*
       (TRIM(SUBSTITUTE(UPPER($C$2:$C67),CHAR(160),""))=TRIM(SUBSTITUTE(UPPER(C67),CHAR(160),"")))*
       (TRIM(SUBSTITUTE(UPPER($D$2:$D67),CHAR(160),""))=TRIM(SUBSTITUTE(UPPER(D67),CHAR(160),"")))*
       (TRIM(SUBSTITUTE(UPPER($E$2:$E67),CHAR(160),""))=TRIM(SUBSTITUTE(UPPER(E67),CHAR(160),"")))
     )
  ),
  0
)</f>
        <v>0</v>
      </c>
      <c r="I67" s="8" cm="1">
        <f t="array" ref="I67">IFERROR(
  IF(D67&lt;&gt;"Tiphaine",
     0,
     SUMPRODUCT(
       (TRIM(SUBSTITUTE(UPPER($B$2:$B67),CHAR(160),""))=TRIM(SUBSTITUTE(UPPER(B67),CHAR(160),"")))*
       (TRIM(SUBSTITUTE(UPPER($C$2:$C67),CHAR(160),""))=TRIM(SUBSTITUTE(UPPER(C67),CHAR(160),"")))*
       (TRIM(SUBSTITUTE(UPPER($D$2:$D67),CHAR(160),""))=TRIM(SUBSTITUTE(UPPER(D67),CHAR(160),"")))*
       (TRIM(SUBSTITUTE(UPPER($E$2:$E67),CHAR(160),""))=TRIM(SUBSTITUTE(UPPER(E67),CHAR(160),"")))
     )
  ),
  0
)</f>
        <v>0</v>
      </c>
      <c r="J67" s="8" cm="1">
        <f t="array" ref="J67">IFERROR(
  IF(D67&lt;&gt;"Catherine",
     0,
     SUMPRODUCT(
       (TRIM(SUBSTITUTE(UPPER($B$2:$B67),CHAR(160),""))=TRIM(SUBSTITUTE(UPPER(B67),CHAR(160),"")))*
       (TRIM(SUBSTITUTE(UPPER($C$2:$C67),CHAR(160),""))=TRIM(SUBSTITUTE(UPPER(C67),CHAR(160),"")))*
       (TRIM(SUBSTITUTE(UPPER($D$2:$D67),CHAR(160),""))=TRIM(SUBSTITUTE(UPPER(D67),CHAR(160),"")))*
       (TRIM(SUBSTITUTE(UPPER($E$2:$E67),CHAR(160),""))=TRIM(SUBSTITUTE(UPPER(E67),CHAR(160),"")))
     )
  ),
  0
)</f>
        <v>0</v>
      </c>
      <c r="K67" s="9">
        <f>IFERROR(
  IF(
    D67&lt;&gt;"Cédric",
    0,
    IF(
      C67="",
      IF(
        COUNTIFS($B$2:B67,B67,$E$2:E67,E67,$D$2:D67,D67)=1,
        INDEX([1]DB!$A:$A,MATCH($E67,[1]DB!$D:$D,0)),
        IF(
          COUNTIFS($B$2:B67,B67,$E$2:E67,E67,$D$2:D67,D67)=2,
          INDEX([1]DB!$B:$B,MATCH($E67,[1]DB!$D:$D,0)),
          INDEX([1]DB!$C:$C,MATCH($E67,[1]DB!$D:$D,0))
        )
      ),
      IF(
        COUNTIFS($C$2:C67,C67,$E$2:E67,E67,$D$2:D67,D67)=1,
        INDEX([1]DB!$A:$A,MATCH($E67,[1]DB!$D:$D,0)),
        IF(
          COUNTIFS($C$2:C67,C67,$E$2:E67,E67,$D$2:D67,D67)=2,
          INDEX([1]DB!$B:$B,MATCH($E67,[1]DB!$D:$D,0)),
          INDEX([1]DB!$C:$C,MATCH($E67,[1]DB!$D:$D,0))
        )
      )
    )
  ),
  0
)</f>
        <v>75</v>
      </c>
      <c r="L67" s="9">
        <f>IFERROR(
  IF(
    D67&lt;&gt;"Geoffroy",
    0,
    IF(
      C67="",
      IF(
        COUNTIFS($B$2:B67,B67,$E$2:E67,E67,$D$2:D67,D67)=1,
        INDEX([1]DB!$A:$A,MATCH($E67,[1]DB!$D:$D,0)),
        IF(
          COUNTIFS($B$2:B67,B67,$E$2:E67,E67,$D$2:D67,D67)=2,
          INDEX([1]DB!$B:$B,MATCH($E67,[1]DB!$D:$D,0)),
          INDEX([1]DB!$C:$C,MATCH($E67,[1]DB!$D:$D,0))
        )
      ),
      IF(
        COUNTIFS($C$2:C67,C67,$E$2:E67,E67,$D$2:D67,D67)=1,
        INDEX([1]DB!$A:$A,MATCH($E67,[1]DB!$D:$D,0)),
        IF(
          COUNTIFS($C$2:C67,C67,$E$2:E67,E67,$D$2:D67,D67)=2,
          INDEX([1]DB!$B:$B,MATCH($E67,[1]DB!$D:$D,0)),
          INDEX([1]DB!$C:$C,MATCH($E67,[1]DB!$D:$D,0))
        )
      )
    )
  ),
  0
)</f>
        <v>0</v>
      </c>
      <c r="M67" s="9">
        <f>IFERROR(
  IF(
    D67&lt;&gt;"Tiphaine",
    0,
    IF(
      C67="",
      IF(
        COUNTIFS($B$2:B67,B67,$E$2:E67,E67,$D$2:D67,D67)=1,
        INDEX([1]DB!$A:$A,MATCH($E67,[1]DB!$D:$D,0)),
        IF(
          COUNTIFS($B$2:B67,B67,$E$2:E67,E67,$D$2:D67,D67)=2,
          INDEX([1]DB!$B:$B,MATCH($E67,[1]DB!$D:$D,0)),
          INDEX([1]DB!$C:$C,MATCH($E67,[1]DB!$D:$D,0))
        )
      ),
      IF(
        COUNTIFS($C$2:C67,C67,$E$2:E67,E67,$D$2:D67,D67)=1,
        INDEX([1]DB!$A:$A,MATCH($E67,[1]DB!$D:$D,0)),
        IF(
          COUNTIFS($C$2:C67,C67,$E$2:E67,E67,$D$2:D67,D67)=2,
          INDEX([1]DB!$B:$B,MATCH($E67,[1]DB!$D:$D,0)),
          INDEX([1]DB!$C:$C,MATCH($E67,[1]DB!$D:$D,0))
        )
      )
    )
  ),
  0
)</f>
        <v>0</v>
      </c>
      <c r="N67" s="9">
        <f>IFERROR(
  IF(
    D67&lt;&gt;"Catherine",
    0,
    IF(
      C67="",
      IF(
        COUNTIFS($B$2:B67,B67,$E$2:E67,E67,$D$2:D67,D67)=1,
        INDEX([1]DB!$A:$A,MATCH($E67,[1]DB!$D:$D,0)),
        IF(
          COUNTIFS($B$2:B67,B67,$E$2:E67,E67,$D$2:D67,D67)=2,
          INDEX([1]DB!$B:$B,MATCH($E67,[1]DB!$D:$D,0)),
          INDEX([1]DB!$C:$C,MATCH($E67,[1]DB!$D:$D,0))
        )
      ),
      IF(
        COUNTIFS($C$2:C67,C67,$E$2:E67,E67,$D$2:D67,D67)=1,
        INDEX([1]DB!$A:$A,MATCH($E67,[1]DB!$D:$D,0)),
        IF(
          COUNTIFS($C$2:C67,C67,$E$2:E67,E67,$D$2:D67,D67)=2,
          INDEX([1]DB!$B:$B,MATCH($E67,[1]DB!$D:$D,0)),
          INDEX([1]DB!$C:$C,MATCH($E67,[1]DB!$D:$D,0))
        )
      )
    )
  ),
  0
)</f>
        <v>0</v>
      </c>
      <c r="O67" s="5" t="str">
        <f t="shared" si="0"/>
        <v>Mai</v>
      </c>
      <c r="P67" s="6" t="str">
        <f t="shared" ca="1" si="1"/>
        <v>NON</v>
      </c>
    </row>
    <row r="68" spans="1:16">
      <c r="A68" s="4">
        <v>46142</v>
      </c>
      <c r="B68" s="5" t="s">
        <v>124</v>
      </c>
      <c r="C68" s="5" t="s">
        <v>125</v>
      </c>
      <c r="D68" s="6" t="s">
        <v>14</v>
      </c>
      <c r="E68" s="6" t="s">
        <v>15</v>
      </c>
      <c r="F68" s="7"/>
      <c r="G68" s="8" cm="1">
        <f t="array" ref="G68">IFERROR(
  IF(D68&lt;&gt;"Cédric",
     0,
     SUMPRODUCT(
       (TRIM(SUBSTITUTE(UPPER($B$2:$B68),CHAR(160),""))=TRIM(SUBSTITUTE(UPPER(B68),CHAR(160),"")))*
       (TRIM(SUBSTITUTE(UPPER($C$2:$C68),CHAR(160),""))=TRIM(SUBSTITUTE(UPPER(C68),CHAR(160),"")))*
       (TRIM(SUBSTITUTE(UPPER($D$2:$D68),CHAR(160),""))=TRIM(SUBSTITUTE(UPPER(D68),CHAR(160),"")))*
       (TRIM(SUBSTITUTE(UPPER($E$2:$E68),CHAR(160),""))=TRIM(SUBSTITUTE(UPPER(E68),CHAR(160),"")))
     )
  ),
  0
)</f>
        <v>1</v>
      </c>
      <c r="H68" s="8" cm="1">
        <f t="array" ref="H68">IFERROR(
  IF(D68&lt;&gt;"Geoffroy",
     0,
     SUMPRODUCT(
       (TRIM(SUBSTITUTE(UPPER($B$2:$B68),CHAR(160),""))=TRIM(SUBSTITUTE(UPPER(B68),CHAR(160),"")))*
       (TRIM(SUBSTITUTE(UPPER($C$2:$C68),CHAR(160),""))=TRIM(SUBSTITUTE(UPPER(C68),CHAR(160),"")))*
       (TRIM(SUBSTITUTE(UPPER($D$2:$D68),CHAR(160),""))=TRIM(SUBSTITUTE(UPPER(D68),CHAR(160),"")))*
       (TRIM(SUBSTITUTE(UPPER($E$2:$E68),CHAR(160),""))=TRIM(SUBSTITUTE(UPPER(E68),CHAR(160),"")))
     )
  ),
  0
)</f>
        <v>0</v>
      </c>
      <c r="I68" s="8" cm="1">
        <f t="array" ref="I68">IFERROR(
  IF(D68&lt;&gt;"Tiphaine",
     0,
     SUMPRODUCT(
       (TRIM(SUBSTITUTE(UPPER($B$2:$B68),CHAR(160),""))=TRIM(SUBSTITUTE(UPPER(B68),CHAR(160),"")))*
       (TRIM(SUBSTITUTE(UPPER($C$2:$C68),CHAR(160),""))=TRIM(SUBSTITUTE(UPPER(C68),CHAR(160),"")))*
       (TRIM(SUBSTITUTE(UPPER($D$2:$D68),CHAR(160),""))=TRIM(SUBSTITUTE(UPPER(D68),CHAR(160),"")))*
       (TRIM(SUBSTITUTE(UPPER($E$2:$E68),CHAR(160),""))=TRIM(SUBSTITUTE(UPPER(E68),CHAR(160),"")))
     )
  ),
  0
)</f>
        <v>0</v>
      </c>
      <c r="J68" s="8" cm="1">
        <f t="array" ref="J68">IFERROR(
  IF(D68&lt;&gt;"Catherine",
     0,
     SUMPRODUCT(
       (TRIM(SUBSTITUTE(UPPER($B$2:$B68),CHAR(160),""))=TRIM(SUBSTITUTE(UPPER(B68),CHAR(160),"")))*
       (TRIM(SUBSTITUTE(UPPER($C$2:$C68),CHAR(160),""))=TRIM(SUBSTITUTE(UPPER(C68),CHAR(160),"")))*
       (TRIM(SUBSTITUTE(UPPER($D$2:$D68),CHAR(160),""))=TRIM(SUBSTITUTE(UPPER(D68),CHAR(160),"")))*
       (TRIM(SUBSTITUTE(UPPER($E$2:$E68),CHAR(160),""))=TRIM(SUBSTITUTE(UPPER(E68),CHAR(160),"")))
     )
  ),
  0
)</f>
        <v>0</v>
      </c>
      <c r="K68" s="9">
        <f>IFERROR(
  IF(
    D68&lt;&gt;"Cédric",
    0,
    IF(
      C68="",
      IF(
        COUNTIFS($B$2:B68,B68,$E$2:E68,E68,$D$2:D68,D68)=1,
        INDEX([1]DB!$A:$A,MATCH($E68,[1]DB!$D:$D,0)),
        IF(
          COUNTIFS($B$2:B68,B68,$E$2:E68,E68,$D$2:D68,D68)=2,
          INDEX([1]DB!$B:$B,MATCH($E68,[1]DB!$D:$D,0)),
          INDEX([1]DB!$C:$C,MATCH($E68,[1]DB!$D:$D,0))
        )
      ),
      IF(
        COUNTIFS($C$2:C68,C68,$E$2:E68,E68,$D$2:D68,D68)=1,
        INDEX([1]DB!$A:$A,MATCH($E68,[1]DB!$D:$D,0)),
        IF(
          COUNTIFS($C$2:C68,C68,$E$2:E68,E68,$D$2:D68,D68)=2,
          INDEX([1]DB!$B:$B,MATCH($E68,[1]DB!$D:$D,0)),
          INDEX([1]DB!$C:$C,MATCH($E68,[1]DB!$D:$D,0))
        )
      )
    )
  ),
  0
)</f>
        <v>75</v>
      </c>
      <c r="L68" s="9">
        <f>IFERROR(
  IF(
    D68&lt;&gt;"Geoffroy",
    0,
    IF(
      C68="",
      IF(
        COUNTIFS($B$2:B68,B68,$E$2:E68,E68,$D$2:D68,D68)=1,
        INDEX([1]DB!$A:$A,MATCH($E68,[1]DB!$D:$D,0)),
        IF(
          COUNTIFS($B$2:B68,B68,$E$2:E68,E68,$D$2:D68,D68)=2,
          INDEX([1]DB!$B:$B,MATCH($E68,[1]DB!$D:$D,0)),
          INDEX([1]DB!$C:$C,MATCH($E68,[1]DB!$D:$D,0))
        )
      ),
      IF(
        COUNTIFS($C$2:C68,C68,$E$2:E68,E68,$D$2:D68,D68)=1,
        INDEX([1]DB!$A:$A,MATCH($E68,[1]DB!$D:$D,0)),
        IF(
          COUNTIFS($C$2:C68,C68,$E$2:E68,E68,$D$2:D68,D68)=2,
          INDEX([1]DB!$B:$B,MATCH($E68,[1]DB!$D:$D,0)),
          INDEX([1]DB!$C:$C,MATCH($E68,[1]DB!$D:$D,0))
        )
      )
    )
  ),
  0
)</f>
        <v>0</v>
      </c>
      <c r="M68" s="9">
        <f>IFERROR(
  IF(
    D68&lt;&gt;"Tiphaine",
    0,
    IF(
      C68="",
      IF(
        COUNTIFS($B$2:B68,B68,$E$2:E68,E68,$D$2:D68,D68)=1,
        INDEX([1]DB!$A:$A,MATCH($E68,[1]DB!$D:$D,0)),
        IF(
          COUNTIFS($B$2:B68,B68,$E$2:E68,E68,$D$2:D68,D68)=2,
          INDEX([1]DB!$B:$B,MATCH($E68,[1]DB!$D:$D,0)),
          INDEX([1]DB!$C:$C,MATCH($E68,[1]DB!$D:$D,0))
        )
      ),
      IF(
        COUNTIFS($C$2:C68,C68,$E$2:E68,E68,$D$2:D68,D68)=1,
        INDEX([1]DB!$A:$A,MATCH($E68,[1]DB!$D:$D,0)),
        IF(
          COUNTIFS($C$2:C68,C68,$E$2:E68,E68,$D$2:D68,D68)=2,
          INDEX([1]DB!$B:$B,MATCH($E68,[1]DB!$D:$D,0)),
          INDEX([1]DB!$C:$C,MATCH($E68,[1]DB!$D:$D,0))
        )
      )
    )
  ),
  0
)</f>
        <v>0</v>
      </c>
      <c r="N68" s="9">
        <f>IFERROR(
  IF(
    D68&lt;&gt;"Catherine",
    0,
    IF(
      C68="",
      IF(
        COUNTIFS($B$2:B68,B68,$E$2:E68,E68,$D$2:D68,D68)=1,
        INDEX([1]DB!$A:$A,MATCH($E68,[1]DB!$D:$D,0)),
        IF(
          COUNTIFS($B$2:B68,B68,$E$2:E68,E68,$D$2:D68,D68)=2,
          INDEX([1]DB!$B:$B,MATCH($E68,[1]DB!$D:$D,0)),
          INDEX([1]DB!$C:$C,MATCH($E68,[1]DB!$D:$D,0))
        )
      ),
      IF(
        COUNTIFS($C$2:C68,C68,$E$2:E68,E68,$D$2:D68,D68)=1,
        INDEX([1]DB!$A:$A,MATCH($E68,[1]DB!$D:$D,0)),
        IF(
          COUNTIFS($C$2:C68,C68,$E$2:E68,E68,$D$2:D68,D68)=2,
          INDEX([1]DB!$B:$B,MATCH($E68,[1]DB!$D:$D,0)),
          INDEX([1]DB!$C:$C,MATCH($E68,[1]DB!$D:$D,0))
        )
      )
    )
  ),
  0
)</f>
        <v>0</v>
      </c>
      <c r="O68" s="5" t="str">
        <f t="shared" si="0"/>
        <v>Mai</v>
      </c>
      <c r="P68" s="6" t="str">
        <f t="shared" ca="1" si="1"/>
        <v>NON</v>
      </c>
    </row>
    <row r="69" spans="1:16">
      <c r="A69" s="4">
        <v>46147</v>
      </c>
      <c r="B69" s="5" t="s">
        <v>126</v>
      </c>
      <c r="C69" s="5" t="s">
        <v>127</v>
      </c>
      <c r="D69" s="6" t="s">
        <v>14</v>
      </c>
      <c r="E69" s="6" t="s">
        <v>15</v>
      </c>
      <c r="F69" s="7"/>
      <c r="G69" s="8" cm="1">
        <f t="array" ref="G69">IFERROR(
  IF(D69&lt;&gt;"Cédric",
     0,
     SUMPRODUCT(
       (TRIM(SUBSTITUTE(UPPER($B$2:$B69),CHAR(160),""))=TRIM(SUBSTITUTE(UPPER(B69),CHAR(160),"")))*
       (TRIM(SUBSTITUTE(UPPER($C$2:$C69),CHAR(160),""))=TRIM(SUBSTITUTE(UPPER(C69),CHAR(160),"")))*
       (TRIM(SUBSTITUTE(UPPER($D$2:$D69),CHAR(160),""))=TRIM(SUBSTITUTE(UPPER(D69),CHAR(160),"")))*
       (TRIM(SUBSTITUTE(UPPER($E$2:$E69),CHAR(160),""))=TRIM(SUBSTITUTE(UPPER(E69),CHAR(160),"")))
     )
  ),
  0
)</f>
        <v>1</v>
      </c>
      <c r="H69" s="8" cm="1">
        <f t="array" ref="H69">IFERROR(
  IF(D69&lt;&gt;"Geoffroy",
     0,
     SUMPRODUCT(
       (TRIM(SUBSTITUTE(UPPER($B$2:$B69),CHAR(160),""))=TRIM(SUBSTITUTE(UPPER(B69),CHAR(160),"")))*
       (TRIM(SUBSTITUTE(UPPER($C$2:$C69),CHAR(160),""))=TRIM(SUBSTITUTE(UPPER(C69),CHAR(160),"")))*
       (TRIM(SUBSTITUTE(UPPER($D$2:$D69),CHAR(160),""))=TRIM(SUBSTITUTE(UPPER(D69),CHAR(160),"")))*
       (TRIM(SUBSTITUTE(UPPER($E$2:$E69),CHAR(160),""))=TRIM(SUBSTITUTE(UPPER(E69),CHAR(160),"")))
     )
  ),
  0
)</f>
        <v>0</v>
      </c>
      <c r="I69" s="8" cm="1">
        <f t="array" ref="I69">IFERROR(
  IF(D69&lt;&gt;"Tiphaine",
     0,
     SUMPRODUCT(
       (TRIM(SUBSTITUTE(UPPER($B$2:$B69),CHAR(160),""))=TRIM(SUBSTITUTE(UPPER(B69),CHAR(160),"")))*
       (TRIM(SUBSTITUTE(UPPER($C$2:$C69),CHAR(160),""))=TRIM(SUBSTITUTE(UPPER(C69),CHAR(160),"")))*
       (TRIM(SUBSTITUTE(UPPER($D$2:$D69),CHAR(160),""))=TRIM(SUBSTITUTE(UPPER(D69),CHAR(160),"")))*
       (TRIM(SUBSTITUTE(UPPER($E$2:$E69),CHAR(160),""))=TRIM(SUBSTITUTE(UPPER(E69),CHAR(160),"")))
     )
  ),
  0
)</f>
        <v>0</v>
      </c>
      <c r="J69" s="8" cm="1">
        <f t="array" ref="J69">IFERROR(
  IF(D69&lt;&gt;"Catherine",
     0,
     SUMPRODUCT(
       (TRIM(SUBSTITUTE(UPPER($B$2:$B69),CHAR(160),""))=TRIM(SUBSTITUTE(UPPER(B69),CHAR(160),"")))*
       (TRIM(SUBSTITUTE(UPPER($C$2:$C69),CHAR(160),""))=TRIM(SUBSTITUTE(UPPER(C69),CHAR(160),"")))*
       (TRIM(SUBSTITUTE(UPPER($D$2:$D69),CHAR(160),""))=TRIM(SUBSTITUTE(UPPER(D69),CHAR(160),"")))*
       (TRIM(SUBSTITUTE(UPPER($E$2:$E69),CHAR(160),""))=TRIM(SUBSTITUTE(UPPER(E69),CHAR(160),"")))
     )
  ),
  0
)</f>
        <v>0</v>
      </c>
      <c r="K69" s="9">
        <f>IFERROR(
  IF(
    D69&lt;&gt;"Cédric",
    0,
    IF(
      C69="",
      IF(
        COUNTIFS($B$2:B69,B69,$E$2:E69,E69,$D$2:D69,D69)=1,
        INDEX([1]DB!$A:$A,MATCH($E69,[1]DB!$D:$D,0)),
        IF(
          COUNTIFS($B$2:B69,B69,$E$2:E69,E69,$D$2:D69,D69)=2,
          INDEX([1]DB!$B:$B,MATCH($E69,[1]DB!$D:$D,0)),
          INDEX([1]DB!$C:$C,MATCH($E69,[1]DB!$D:$D,0))
        )
      ),
      IF(
        COUNTIFS($C$2:C69,C69,$E$2:E69,E69,$D$2:D69,D69)=1,
        INDEX([1]DB!$A:$A,MATCH($E69,[1]DB!$D:$D,0)),
        IF(
          COUNTIFS($C$2:C69,C69,$E$2:E69,E69,$D$2:D69,D69)=2,
          INDEX([1]DB!$B:$B,MATCH($E69,[1]DB!$D:$D,0)),
          INDEX([1]DB!$C:$C,MATCH($E69,[1]DB!$D:$D,0))
        )
      )
    )
  ),
  0
)</f>
        <v>75</v>
      </c>
      <c r="L69" s="9">
        <f>IFERROR(
  IF(
    D69&lt;&gt;"Geoffroy",
    0,
    IF(
      C69="",
      IF(
        COUNTIFS($B$2:B69,B69,$E$2:E69,E69,$D$2:D69,D69)=1,
        INDEX([1]DB!$A:$A,MATCH($E69,[1]DB!$D:$D,0)),
        IF(
          COUNTIFS($B$2:B69,B69,$E$2:E69,E69,$D$2:D69,D69)=2,
          INDEX([1]DB!$B:$B,MATCH($E69,[1]DB!$D:$D,0)),
          INDEX([1]DB!$C:$C,MATCH($E69,[1]DB!$D:$D,0))
        )
      ),
      IF(
        COUNTIFS($C$2:C69,C69,$E$2:E69,E69,$D$2:D69,D69)=1,
        INDEX([1]DB!$A:$A,MATCH($E69,[1]DB!$D:$D,0)),
        IF(
          COUNTIFS($C$2:C69,C69,$E$2:E69,E69,$D$2:D69,D69)=2,
          INDEX([1]DB!$B:$B,MATCH($E69,[1]DB!$D:$D,0)),
          INDEX([1]DB!$C:$C,MATCH($E69,[1]DB!$D:$D,0))
        )
      )
    )
  ),
  0
)</f>
        <v>0</v>
      </c>
      <c r="M69" s="9">
        <f>IFERROR(
  IF(
    D69&lt;&gt;"Tiphaine",
    0,
    IF(
      C69="",
      IF(
        COUNTIFS($B$2:B69,B69,$E$2:E69,E69,$D$2:D69,D69)=1,
        INDEX([1]DB!$A:$A,MATCH($E69,[1]DB!$D:$D,0)),
        IF(
          COUNTIFS($B$2:B69,B69,$E$2:E69,E69,$D$2:D69,D69)=2,
          INDEX([1]DB!$B:$B,MATCH($E69,[1]DB!$D:$D,0)),
          INDEX([1]DB!$C:$C,MATCH($E69,[1]DB!$D:$D,0))
        )
      ),
      IF(
        COUNTIFS($C$2:C69,C69,$E$2:E69,E69,$D$2:D69,D69)=1,
        INDEX([1]DB!$A:$A,MATCH($E69,[1]DB!$D:$D,0)),
        IF(
          COUNTIFS($C$2:C69,C69,$E$2:E69,E69,$D$2:D69,D69)=2,
          INDEX([1]DB!$B:$B,MATCH($E69,[1]DB!$D:$D,0)),
          INDEX([1]DB!$C:$C,MATCH($E69,[1]DB!$D:$D,0))
        )
      )
    )
  ),
  0
)</f>
        <v>0</v>
      </c>
      <c r="N69" s="9">
        <f>IFERROR(
  IF(
    D69&lt;&gt;"Catherine",
    0,
    IF(
      C69="",
      IF(
        COUNTIFS($B$2:B69,B69,$E$2:E69,E69,$D$2:D69,D69)=1,
        INDEX([1]DB!$A:$A,MATCH($E69,[1]DB!$D:$D,0)),
        IF(
          COUNTIFS($B$2:B69,B69,$E$2:E69,E69,$D$2:D69,D69)=2,
          INDEX([1]DB!$B:$B,MATCH($E69,[1]DB!$D:$D,0)),
          INDEX([1]DB!$C:$C,MATCH($E69,[1]DB!$D:$D,0))
        )
      ),
      IF(
        COUNTIFS($C$2:C69,C69,$E$2:E69,E69,$D$2:D69,D69)=1,
        INDEX([1]DB!$A:$A,MATCH($E69,[1]DB!$D:$D,0)),
        IF(
          COUNTIFS($C$2:C69,C69,$E$2:E69,E69,$D$2:D69,D69)=2,
          INDEX([1]DB!$B:$B,MATCH($E69,[1]DB!$D:$D,0)),
          INDEX([1]DB!$C:$C,MATCH($E69,[1]DB!$D:$D,0))
        )
      )
    )
  ),
  0
)</f>
        <v>0</v>
      </c>
      <c r="O69" s="5" t="str">
        <f t="shared" si="0"/>
        <v>Mai</v>
      </c>
      <c r="P69" s="6" t="str">
        <f t="shared" ca="1" si="1"/>
        <v>NON</v>
      </c>
    </row>
    <row r="70" spans="1:16">
      <c r="A70" s="4">
        <v>46210</v>
      </c>
      <c r="B70" s="5" t="s">
        <v>128</v>
      </c>
      <c r="C70" s="5" t="s">
        <v>13</v>
      </c>
      <c r="D70" s="6" t="s">
        <v>14</v>
      </c>
      <c r="E70" s="6" t="s">
        <v>27</v>
      </c>
      <c r="F70" s="7"/>
      <c r="G70" s="8" cm="1">
        <f t="array" ref="G70">IFERROR(
  IF(D70&lt;&gt;"Cédric",
     0,
     SUMPRODUCT(
       (TRIM(SUBSTITUTE(UPPER($B$2:$B70),CHAR(160),""))=TRIM(SUBSTITUTE(UPPER(B70),CHAR(160),"")))*
       (TRIM(SUBSTITUTE(UPPER($C$2:$C70),CHAR(160),""))=TRIM(SUBSTITUTE(UPPER(C70),CHAR(160),"")))*
       (TRIM(SUBSTITUTE(UPPER($D$2:$D70),CHAR(160),""))=TRIM(SUBSTITUTE(UPPER(D70),CHAR(160),"")))*
       (TRIM(SUBSTITUTE(UPPER($E$2:$E70),CHAR(160),""))=TRIM(SUBSTITUTE(UPPER(E70),CHAR(160),"")))
     )
  ),
  0
)</f>
        <v>1</v>
      </c>
      <c r="H70" s="8" cm="1">
        <f t="array" ref="H70">IFERROR(
  IF(D70&lt;&gt;"Geoffroy",
     0,
     SUMPRODUCT(
       (TRIM(SUBSTITUTE(UPPER($B$2:$B70),CHAR(160),""))=TRIM(SUBSTITUTE(UPPER(B70),CHAR(160),"")))*
       (TRIM(SUBSTITUTE(UPPER($C$2:$C70),CHAR(160),""))=TRIM(SUBSTITUTE(UPPER(C70),CHAR(160),"")))*
       (TRIM(SUBSTITUTE(UPPER($D$2:$D70),CHAR(160),""))=TRIM(SUBSTITUTE(UPPER(D70),CHAR(160),"")))*
       (TRIM(SUBSTITUTE(UPPER($E$2:$E70),CHAR(160),""))=TRIM(SUBSTITUTE(UPPER(E70),CHAR(160),"")))
     )
  ),
  0
)</f>
        <v>0</v>
      </c>
      <c r="I70" s="8" cm="1">
        <f t="array" ref="I70">IFERROR(
  IF(D70&lt;&gt;"Tiphaine",
     0,
     SUMPRODUCT(
       (TRIM(SUBSTITUTE(UPPER($B$2:$B70),CHAR(160),""))=TRIM(SUBSTITUTE(UPPER(B70),CHAR(160),"")))*
       (TRIM(SUBSTITUTE(UPPER($C$2:$C70),CHAR(160),""))=TRIM(SUBSTITUTE(UPPER(C70),CHAR(160),"")))*
       (TRIM(SUBSTITUTE(UPPER($D$2:$D70),CHAR(160),""))=TRIM(SUBSTITUTE(UPPER(D70),CHAR(160),"")))*
       (TRIM(SUBSTITUTE(UPPER($E$2:$E70),CHAR(160),""))=TRIM(SUBSTITUTE(UPPER(E70),CHAR(160),"")))
     )
  ),
  0
)</f>
        <v>0</v>
      </c>
      <c r="J70" s="8" cm="1">
        <f t="array" ref="J70">IFERROR(
  IF(D70&lt;&gt;"Catherine",
     0,
     SUMPRODUCT(
       (TRIM(SUBSTITUTE(UPPER($B$2:$B70),CHAR(160),""))=TRIM(SUBSTITUTE(UPPER(B70),CHAR(160),"")))*
       (TRIM(SUBSTITUTE(UPPER($C$2:$C70),CHAR(160),""))=TRIM(SUBSTITUTE(UPPER(C70),CHAR(160),"")))*
       (TRIM(SUBSTITUTE(UPPER($D$2:$D70),CHAR(160),""))=TRIM(SUBSTITUTE(UPPER(D70),CHAR(160),"")))*
       (TRIM(SUBSTITUTE(UPPER($E$2:$E70),CHAR(160),""))=TRIM(SUBSTITUTE(UPPER(E70),CHAR(160),"")))
     )
  ),
  0
)</f>
        <v>0</v>
      </c>
      <c r="K70" s="9">
        <f>IFERROR(
  IF(
    D70&lt;&gt;"Cédric",
    0,
    IF(
      C70="",
      IF(
        COUNTIFS($B$2:B70,B70,$E$2:E70,E70,$D$2:D70,D70)=1,
        INDEX([1]DB!$A:$A,MATCH($E70,[1]DB!$D:$D,0)),
        IF(
          COUNTIFS($B$2:B70,B70,$E$2:E70,E70,$D$2:D70,D70)=2,
          INDEX([1]DB!$B:$B,MATCH($E70,[1]DB!$D:$D,0)),
          INDEX([1]DB!$C:$C,MATCH($E70,[1]DB!$D:$D,0))
        )
      ),
      IF(
        COUNTIFS($C$2:C70,C70,$E$2:E70,E70,$D$2:D70,D70)=1,
        INDEX([1]DB!$A:$A,MATCH($E70,[1]DB!$D:$D,0)),
        IF(
          COUNTIFS($C$2:C70,C70,$E$2:E70,E70,$D$2:D70,D70)=2,
          INDEX([1]DB!$B:$B,MATCH($E70,[1]DB!$D:$D,0)),
          INDEX([1]DB!$C:$C,MATCH($E70,[1]DB!$D:$D,0))
        )
      )
    )
  ),
  0
)</f>
        <v>75</v>
      </c>
      <c r="L70" s="9">
        <f>IFERROR(
  IF(
    D70&lt;&gt;"Geoffroy",
    0,
    IF(
      C70="",
      IF(
        COUNTIFS($B$2:B70,B70,$E$2:E70,E70,$D$2:D70,D70)=1,
        INDEX([1]DB!$A:$A,MATCH($E70,[1]DB!$D:$D,0)),
        IF(
          COUNTIFS($B$2:B70,B70,$E$2:E70,E70,$D$2:D70,D70)=2,
          INDEX([1]DB!$B:$B,MATCH($E70,[1]DB!$D:$D,0)),
          INDEX([1]DB!$C:$C,MATCH($E70,[1]DB!$D:$D,0))
        )
      ),
      IF(
        COUNTIFS($C$2:C70,C70,$E$2:E70,E70,$D$2:D70,D70)=1,
        INDEX([1]DB!$A:$A,MATCH($E70,[1]DB!$D:$D,0)),
        IF(
          COUNTIFS($C$2:C70,C70,$E$2:E70,E70,$D$2:D70,D70)=2,
          INDEX([1]DB!$B:$B,MATCH($E70,[1]DB!$D:$D,0)),
          INDEX([1]DB!$C:$C,MATCH($E70,[1]DB!$D:$D,0))
        )
      )
    )
  ),
  0
)</f>
        <v>0</v>
      </c>
      <c r="M70" s="9">
        <f>IFERROR(
  IF(
    D70&lt;&gt;"Tiphaine",
    0,
    IF(
      C70="",
      IF(
        COUNTIFS($B$2:B70,B70,$E$2:E70,E70,$D$2:D70,D70)=1,
        INDEX([1]DB!$A:$A,MATCH($E70,[1]DB!$D:$D,0)),
        IF(
          COUNTIFS($B$2:B70,B70,$E$2:E70,E70,$D$2:D70,D70)=2,
          INDEX([1]DB!$B:$B,MATCH($E70,[1]DB!$D:$D,0)),
          INDEX([1]DB!$C:$C,MATCH($E70,[1]DB!$D:$D,0))
        )
      ),
      IF(
        COUNTIFS($C$2:C70,C70,$E$2:E70,E70,$D$2:D70,D70)=1,
        INDEX([1]DB!$A:$A,MATCH($E70,[1]DB!$D:$D,0)),
        IF(
          COUNTIFS($C$2:C70,C70,$E$2:E70,E70,$D$2:D70,D70)=2,
          INDEX([1]DB!$B:$B,MATCH($E70,[1]DB!$D:$D,0)),
          INDEX([1]DB!$C:$C,MATCH($E70,[1]DB!$D:$D,0))
        )
      )
    )
  ),
  0
)</f>
        <v>0</v>
      </c>
      <c r="N70" s="9">
        <f>IFERROR(
  IF(
    D70&lt;&gt;"Catherine",
    0,
    IF(
      C70="",
      IF(
        COUNTIFS($B$2:B70,B70,$E$2:E70,E70,$D$2:D70,D70)=1,
        INDEX([1]DB!$A:$A,MATCH($E70,[1]DB!$D:$D,0)),
        IF(
          COUNTIFS($B$2:B70,B70,$E$2:E70,E70,$D$2:D70,D70)=2,
          INDEX([1]DB!$B:$B,MATCH($E70,[1]DB!$D:$D,0)),
          INDEX([1]DB!$C:$C,MATCH($E70,[1]DB!$D:$D,0))
        )
      ),
      IF(
        COUNTIFS($C$2:C70,C70,$E$2:E70,E70,$D$2:D70,D70)=1,
        INDEX([1]DB!$A:$A,MATCH($E70,[1]DB!$D:$D,0)),
        IF(
          COUNTIFS($C$2:C70,C70,$E$2:E70,E70,$D$2:D70,D70)=2,
          INDEX([1]DB!$B:$B,MATCH($E70,[1]DB!$D:$D,0)),
          INDEX([1]DB!$C:$C,MATCH($E70,[1]DB!$D:$D,0))
        )
      )
    )
  ),
  0
)</f>
        <v>0</v>
      </c>
      <c r="O70" s="5" t="str">
        <f t="shared" si="0"/>
        <v>Juillet</v>
      </c>
      <c r="P70" s="6" t="str">
        <f t="shared" ca="1" si="1"/>
        <v>NON</v>
      </c>
    </row>
    <row r="71" spans="1:16">
      <c r="A71" s="4"/>
      <c r="B71" s="5"/>
      <c r="C71" s="5"/>
      <c r="D71" s="6"/>
      <c r="E71" s="6"/>
      <c r="F71" s="7"/>
      <c r="G71" s="8" cm="1">
        <f t="array" ref="G71">IFERROR(
  IF(D71&lt;&gt;"Cédric",
     0,
     SUMPRODUCT(
       (TRIM(SUBSTITUTE(UPPER($B$2:$B71),CHAR(160),""))=TRIM(SUBSTITUTE(UPPER(B71),CHAR(160),"")))*
       (TRIM(SUBSTITUTE(UPPER($C$2:$C71),CHAR(160),""))=TRIM(SUBSTITUTE(UPPER(C71),CHAR(160),"")))*
       (TRIM(SUBSTITUTE(UPPER($D$2:$D71),CHAR(160),""))=TRIM(SUBSTITUTE(UPPER(D71),CHAR(160),"")))*
       (TRIM(SUBSTITUTE(UPPER($E$2:$E71),CHAR(160),""))=TRIM(SUBSTITUTE(UPPER(E71),CHAR(160),"")))
     )
  ),
  0
)</f>
        <v>0</v>
      </c>
      <c r="H71" s="8" cm="1">
        <f t="array" ref="H71">IFERROR(
  IF(D71&lt;&gt;"Geoffroy",
     0,
     SUMPRODUCT(
       (TRIM(SUBSTITUTE(UPPER($B$2:$B71),CHAR(160),""))=TRIM(SUBSTITUTE(UPPER(B71),CHAR(160),"")))*
       (TRIM(SUBSTITUTE(UPPER($C$2:$C71),CHAR(160),""))=TRIM(SUBSTITUTE(UPPER(C71),CHAR(160),"")))*
       (TRIM(SUBSTITUTE(UPPER($D$2:$D71),CHAR(160),""))=TRIM(SUBSTITUTE(UPPER(D71),CHAR(160),"")))*
       (TRIM(SUBSTITUTE(UPPER($E$2:$E71),CHAR(160),""))=TRIM(SUBSTITUTE(UPPER(E71),CHAR(160),"")))
     )
  ),
  0
)</f>
        <v>0</v>
      </c>
      <c r="I71" s="8" cm="1">
        <f t="array" ref="I71">IFERROR(
  IF(D71&lt;&gt;"Tiphaine",
     0,
     SUMPRODUCT(
       (TRIM(SUBSTITUTE(UPPER($B$2:$B71),CHAR(160),""))=TRIM(SUBSTITUTE(UPPER(B71),CHAR(160),"")))*
       (TRIM(SUBSTITUTE(UPPER($C$2:$C71),CHAR(160),""))=TRIM(SUBSTITUTE(UPPER(C71),CHAR(160),"")))*
       (TRIM(SUBSTITUTE(UPPER($D$2:$D71),CHAR(160),""))=TRIM(SUBSTITUTE(UPPER(D71),CHAR(160),"")))*
       (TRIM(SUBSTITUTE(UPPER($E$2:$E71),CHAR(160),""))=TRIM(SUBSTITUTE(UPPER(E71),CHAR(160),"")))
     )
  ),
  0
)</f>
        <v>0</v>
      </c>
      <c r="J71" s="8" cm="1">
        <f t="array" ref="J71">IFERROR(
  IF(D71&lt;&gt;"Catherine",
     0,
     SUMPRODUCT(
       (TRIM(SUBSTITUTE(UPPER($B$2:$B71),CHAR(160),""))=TRIM(SUBSTITUTE(UPPER(B71),CHAR(160),"")))*
       (TRIM(SUBSTITUTE(UPPER($C$2:$C71),CHAR(160),""))=TRIM(SUBSTITUTE(UPPER(C71),CHAR(160),"")))*
       (TRIM(SUBSTITUTE(UPPER($D$2:$D71),CHAR(160),""))=TRIM(SUBSTITUTE(UPPER(D71),CHAR(160),"")))*
       (TRIM(SUBSTITUTE(UPPER($E$2:$E71),CHAR(160),""))=TRIM(SUBSTITUTE(UPPER(E71),CHAR(160),"")))
     )
  ),
  0
)</f>
        <v>0</v>
      </c>
      <c r="K71" s="9">
        <f>IFERROR(
  IF(
    D71&lt;&gt;"Cédric",
    0,
    IF(
      C71="",
      IF(
        COUNTIFS($B$2:B71,B71,$E$2:E71,E71,$D$2:D71,D71)=1,
        INDEX([1]DB!$A:$A,MATCH($E71,[1]DB!$D:$D,0)),
        IF(
          COUNTIFS($B$2:B71,B71,$E$2:E71,E71,$D$2:D71,D71)=2,
          INDEX([1]DB!$B:$B,MATCH($E71,[1]DB!$D:$D,0)),
          INDEX([1]DB!$C:$C,MATCH($E71,[1]DB!$D:$D,0))
        )
      ),
      IF(
        COUNTIFS($C$2:C71,C71,$E$2:E71,E71,$D$2:D71,D71)=1,
        INDEX([1]DB!$A:$A,MATCH($E71,[1]DB!$D:$D,0)),
        IF(
          COUNTIFS($C$2:C71,C71,$E$2:E71,E71,$D$2:D71,D71)=2,
          INDEX([1]DB!$B:$B,MATCH($E71,[1]DB!$D:$D,0)),
          INDEX([1]DB!$C:$C,MATCH($E71,[1]DB!$D:$D,0))
        )
      )
    )
  ),
  0
)</f>
        <v>0</v>
      </c>
      <c r="L71" s="9">
        <f>IFERROR(
  IF(
    D71&lt;&gt;"Geoffroy",
    0,
    IF(
      C71="",
      IF(
        COUNTIFS($B$2:B71,B71,$E$2:E71,E71,$D$2:D71,D71)=1,
        INDEX([1]DB!$A:$A,MATCH($E71,[1]DB!$D:$D,0)),
        IF(
          COUNTIFS($B$2:B71,B71,$E$2:E71,E71,$D$2:D71,D71)=2,
          INDEX([1]DB!$B:$B,MATCH($E71,[1]DB!$D:$D,0)),
          INDEX([1]DB!$C:$C,MATCH($E71,[1]DB!$D:$D,0))
        )
      ),
      IF(
        COUNTIFS($C$2:C71,C71,$E$2:E71,E71,$D$2:D71,D71)=1,
        INDEX([1]DB!$A:$A,MATCH($E71,[1]DB!$D:$D,0)),
        IF(
          COUNTIFS($C$2:C71,C71,$E$2:E71,E71,$D$2:D71,D71)=2,
          INDEX([1]DB!$B:$B,MATCH($E71,[1]DB!$D:$D,0)),
          INDEX([1]DB!$C:$C,MATCH($E71,[1]DB!$D:$D,0))
        )
      )
    )
  ),
  0
)</f>
        <v>0</v>
      </c>
      <c r="M71" s="9">
        <f>IFERROR(
  IF(
    D71&lt;&gt;"Tiphaine",
    0,
    IF(
      C71="",
      IF(
        COUNTIFS($B$2:B71,B71,$E$2:E71,E71,$D$2:D71,D71)=1,
        INDEX([1]DB!$A:$A,MATCH($E71,[1]DB!$D:$D,0)),
        IF(
          COUNTIFS($B$2:B71,B71,$E$2:E71,E71,$D$2:D71,D71)=2,
          INDEX([1]DB!$B:$B,MATCH($E71,[1]DB!$D:$D,0)),
          INDEX([1]DB!$C:$C,MATCH($E71,[1]DB!$D:$D,0))
        )
      ),
      IF(
        COUNTIFS($C$2:C71,C71,$E$2:E71,E71,$D$2:D71,D71)=1,
        INDEX([1]DB!$A:$A,MATCH($E71,[1]DB!$D:$D,0)),
        IF(
          COUNTIFS($C$2:C71,C71,$E$2:E71,E71,$D$2:D71,D71)=2,
          INDEX([1]DB!$B:$B,MATCH($E71,[1]DB!$D:$D,0)),
          INDEX([1]DB!$C:$C,MATCH($E71,[1]DB!$D:$D,0))
        )
      )
    )
  ),
  0
)</f>
        <v>0</v>
      </c>
      <c r="N71" s="9">
        <f>IFERROR(
  IF(
    D71&lt;&gt;"Catherine",
    0,
    IF(
      C71="",
      IF(
        COUNTIFS($B$2:B71,B71,$E$2:E71,E71,$D$2:D71,D71)=1,
        INDEX([1]DB!$A:$A,MATCH($E71,[1]DB!$D:$D,0)),
        IF(
          COUNTIFS($B$2:B71,B71,$E$2:E71,E71,$D$2:D71,D71)=2,
          INDEX([1]DB!$B:$B,MATCH($E71,[1]DB!$D:$D,0)),
          INDEX([1]DB!$C:$C,MATCH($E71,[1]DB!$D:$D,0))
        )
      ),
      IF(
        COUNTIFS($C$2:C71,C71,$E$2:E71,E71,$D$2:D71,D71)=1,
        INDEX([1]DB!$A:$A,MATCH($E71,[1]DB!$D:$D,0)),
        IF(
          COUNTIFS($C$2:C71,C71,$E$2:E71,E71,$D$2:D71,D71)=2,
          INDEX([1]DB!$B:$B,MATCH($E71,[1]DB!$D:$D,0)),
          INDEX([1]DB!$C:$C,MATCH($E71,[1]DB!$D:$D,0))
        )
      )
    )
  ),
  0
)</f>
        <v>0</v>
      </c>
      <c r="O71" s="5" t="str">
        <f t="shared" si="0"/>
        <v>Janvier</v>
      </c>
      <c r="P71" s="6" t="str">
        <f t="shared" ca="1" si="1"/>
        <v>NON</v>
      </c>
    </row>
    <row r="72" spans="1:16">
      <c r="A72" s="4"/>
      <c r="B72" s="5"/>
      <c r="C72" s="5"/>
      <c r="D72" s="6"/>
      <c r="E72" s="6"/>
      <c r="F72" s="7"/>
      <c r="G72" s="8" cm="1">
        <f t="array" ref="G72">IFERROR(
  IF(D72&lt;&gt;"Cédric",
     0,
     SUMPRODUCT(
       (TRIM(SUBSTITUTE(UPPER($B$2:$B72),CHAR(160),""))=TRIM(SUBSTITUTE(UPPER(B72),CHAR(160),"")))*
       (TRIM(SUBSTITUTE(UPPER($C$2:$C72),CHAR(160),""))=TRIM(SUBSTITUTE(UPPER(C72),CHAR(160),"")))*
       (TRIM(SUBSTITUTE(UPPER($D$2:$D72),CHAR(160),""))=TRIM(SUBSTITUTE(UPPER(D72),CHAR(160),"")))*
       (TRIM(SUBSTITUTE(UPPER($E$2:$E72),CHAR(160),""))=TRIM(SUBSTITUTE(UPPER(E72),CHAR(160),"")))
     )
  ),
  0
)</f>
        <v>0</v>
      </c>
      <c r="H72" s="8" cm="1">
        <f t="array" ref="H72">IFERROR(
  IF(D72&lt;&gt;"Geoffroy",
     0,
     SUMPRODUCT(
       (TRIM(SUBSTITUTE(UPPER($B$2:$B72),CHAR(160),""))=TRIM(SUBSTITUTE(UPPER(B72),CHAR(160),"")))*
       (TRIM(SUBSTITUTE(UPPER($C$2:$C72),CHAR(160),""))=TRIM(SUBSTITUTE(UPPER(C72),CHAR(160),"")))*
       (TRIM(SUBSTITUTE(UPPER($D$2:$D72),CHAR(160),""))=TRIM(SUBSTITUTE(UPPER(D72),CHAR(160),"")))*
       (TRIM(SUBSTITUTE(UPPER($E$2:$E72),CHAR(160),""))=TRIM(SUBSTITUTE(UPPER(E72),CHAR(160),"")))
     )
  ),
  0
)</f>
        <v>0</v>
      </c>
      <c r="I72" s="8" cm="1">
        <f t="array" ref="I72">IFERROR(
  IF(D72&lt;&gt;"Tiphaine",
     0,
     SUMPRODUCT(
       (TRIM(SUBSTITUTE(UPPER($B$2:$B72),CHAR(160),""))=TRIM(SUBSTITUTE(UPPER(B72),CHAR(160),"")))*
       (TRIM(SUBSTITUTE(UPPER($C$2:$C72),CHAR(160),""))=TRIM(SUBSTITUTE(UPPER(C72),CHAR(160),"")))*
       (TRIM(SUBSTITUTE(UPPER($D$2:$D72),CHAR(160),""))=TRIM(SUBSTITUTE(UPPER(D72),CHAR(160),"")))*
       (TRIM(SUBSTITUTE(UPPER($E$2:$E72),CHAR(160),""))=TRIM(SUBSTITUTE(UPPER(E72),CHAR(160),"")))
     )
  ),
  0
)</f>
        <v>0</v>
      </c>
      <c r="J72" s="8" cm="1">
        <f t="array" ref="J72">IFERROR(
  IF(D72&lt;&gt;"Catherine",
     0,
     SUMPRODUCT(
       (TRIM(SUBSTITUTE(UPPER($B$2:$B72),CHAR(160),""))=TRIM(SUBSTITUTE(UPPER(B72),CHAR(160),"")))*
       (TRIM(SUBSTITUTE(UPPER($C$2:$C72),CHAR(160),""))=TRIM(SUBSTITUTE(UPPER(C72),CHAR(160),"")))*
       (TRIM(SUBSTITUTE(UPPER($D$2:$D72),CHAR(160),""))=TRIM(SUBSTITUTE(UPPER(D72),CHAR(160),"")))*
       (TRIM(SUBSTITUTE(UPPER($E$2:$E72),CHAR(160),""))=TRIM(SUBSTITUTE(UPPER(E72),CHAR(160),"")))
     )
  ),
  0
)</f>
        <v>0</v>
      </c>
      <c r="K72" s="9">
        <f>IFERROR(
  IF(
    D72&lt;&gt;"Cédric",
    0,
    IF(
      C72="",
      IF(
        COUNTIFS($B$2:B72,B72,$E$2:E72,E72,$D$2:D72,D72)=1,
        INDEX([1]DB!$A:$A,MATCH($E72,[1]DB!$D:$D,0)),
        IF(
          COUNTIFS($B$2:B72,B72,$E$2:E72,E72,$D$2:D72,D72)=2,
          INDEX([1]DB!$B:$B,MATCH($E72,[1]DB!$D:$D,0)),
          INDEX([1]DB!$C:$C,MATCH($E72,[1]DB!$D:$D,0))
        )
      ),
      IF(
        COUNTIFS($C$2:C72,C72,$E$2:E72,E72,$D$2:D72,D72)=1,
        INDEX([1]DB!$A:$A,MATCH($E72,[1]DB!$D:$D,0)),
        IF(
          COUNTIFS($C$2:C72,C72,$E$2:E72,E72,$D$2:D72,D72)=2,
          INDEX([1]DB!$B:$B,MATCH($E72,[1]DB!$D:$D,0)),
          INDEX([1]DB!$C:$C,MATCH($E72,[1]DB!$D:$D,0))
        )
      )
    )
  ),
  0
)</f>
        <v>0</v>
      </c>
      <c r="L72" s="9">
        <f>IFERROR(
  IF(
    D72&lt;&gt;"Geoffroy",
    0,
    IF(
      C72="",
      IF(
        COUNTIFS($B$2:B72,B72,$E$2:E72,E72,$D$2:D72,D72)=1,
        INDEX([1]DB!$A:$A,MATCH($E72,[1]DB!$D:$D,0)),
        IF(
          COUNTIFS($B$2:B72,B72,$E$2:E72,E72,$D$2:D72,D72)=2,
          INDEX([1]DB!$B:$B,MATCH($E72,[1]DB!$D:$D,0)),
          INDEX([1]DB!$C:$C,MATCH($E72,[1]DB!$D:$D,0))
        )
      ),
      IF(
        COUNTIFS($C$2:C72,C72,$E$2:E72,E72,$D$2:D72,D72)=1,
        INDEX([1]DB!$A:$A,MATCH($E72,[1]DB!$D:$D,0)),
        IF(
          COUNTIFS($C$2:C72,C72,$E$2:E72,E72,$D$2:D72,D72)=2,
          INDEX([1]DB!$B:$B,MATCH($E72,[1]DB!$D:$D,0)),
          INDEX([1]DB!$C:$C,MATCH($E72,[1]DB!$D:$D,0))
        )
      )
    )
  ),
  0
)</f>
        <v>0</v>
      </c>
      <c r="M72" s="9">
        <f>IFERROR(
  IF(
    D72&lt;&gt;"Tiphaine",
    0,
    IF(
      C72="",
      IF(
        COUNTIFS($B$2:B72,B72,$E$2:E72,E72,$D$2:D72,D72)=1,
        INDEX([1]DB!$A:$A,MATCH($E72,[1]DB!$D:$D,0)),
        IF(
          COUNTIFS($B$2:B72,B72,$E$2:E72,E72,$D$2:D72,D72)=2,
          INDEX([1]DB!$B:$B,MATCH($E72,[1]DB!$D:$D,0)),
          INDEX([1]DB!$C:$C,MATCH($E72,[1]DB!$D:$D,0))
        )
      ),
      IF(
        COUNTIFS($C$2:C72,C72,$E$2:E72,E72,$D$2:D72,D72)=1,
        INDEX([1]DB!$A:$A,MATCH($E72,[1]DB!$D:$D,0)),
        IF(
          COUNTIFS($C$2:C72,C72,$E$2:E72,E72,$D$2:D72,D72)=2,
          INDEX([1]DB!$B:$B,MATCH($E72,[1]DB!$D:$D,0)),
          INDEX([1]DB!$C:$C,MATCH($E72,[1]DB!$D:$D,0))
        )
      )
    )
  ),
  0
)</f>
        <v>0</v>
      </c>
      <c r="N72" s="9">
        <f>IFERROR(
  IF(
    D72&lt;&gt;"Catherine",
    0,
    IF(
      C72="",
      IF(
        COUNTIFS($B$2:B72,B72,$E$2:E72,E72,$D$2:D72,D72)=1,
        INDEX([1]DB!$A:$A,MATCH($E72,[1]DB!$D:$D,0)),
        IF(
          COUNTIFS($B$2:B72,B72,$E$2:E72,E72,$D$2:D72,D72)=2,
          INDEX([1]DB!$B:$B,MATCH($E72,[1]DB!$D:$D,0)),
          INDEX([1]DB!$C:$C,MATCH($E72,[1]DB!$D:$D,0))
        )
      ),
      IF(
        COUNTIFS($C$2:C72,C72,$E$2:E72,E72,$D$2:D72,D72)=1,
        INDEX([1]DB!$A:$A,MATCH($E72,[1]DB!$D:$D,0)),
        IF(
          COUNTIFS($C$2:C72,C72,$E$2:E72,E72,$D$2:D72,D72)=2,
          INDEX([1]DB!$B:$B,MATCH($E72,[1]DB!$D:$D,0)),
          INDEX([1]DB!$C:$C,MATCH($E72,[1]DB!$D:$D,0))
        )
      )
    )
  ),
  0
)</f>
        <v>0</v>
      </c>
      <c r="O72" s="5" t="str">
        <f t="shared" si="0"/>
        <v>Janvier</v>
      </c>
      <c r="P72" s="6" t="str">
        <f t="shared" ca="1" si="1"/>
        <v>NON</v>
      </c>
    </row>
    <row r="73" spans="1:16">
      <c r="A73" s="4"/>
      <c r="B73" s="5"/>
      <c r="C73" s="5"/>
      <c r="D73" s="6"/>
      <c r="E73" s="6"/>
      <c r="F73" s="7"/>
      <c r="G73" s="8" cm="1">
        <f t="array" ref="G73">IFERROR(
  IF(D73&lt;&gt;"Cédric",
     0,
     SUMPRODUCT(
       (TRIM(SUBSTITUTE(UPPER($B$2:$B73),CHAR(160),""))=TRIM(SUBSTITUTE(UPPER(B73),CHAR(160),"")))*
       (TRIM(SUBSTITUTE(UPPER($C$2:$C73),CHAR(160),""))=TRIM(SUBSTITUTE(UPPER(C73),CHAR(160),"")))*
       (TRIM(SUBSTITUTE(UPPER($D$2:$D73),CHAR(160),""))=TRIM(SUBSTITUTE(UPPER(D73),CHAR(160),"")))*
       (TRIM(SUBSTITUTE(UPPER($E$2:$E73),CHAR(160),""))=TRIM(SUBSTITUTE(UPPER(E73),CHAR(160),"")))
     )
  ),
  0
)</f>
        <v>0</v>
      </c>
      <c r="H73" s="8" cm="1">
        <f t="array" ref="H73">IFERROR(
  IF(D73&lt;&gt;"Geoffroy",
     0,
     SUMPRODUCT(
       (TRIM(SUBSTITUTE(UPPER($B$2:$B73),CHAR(160),""))=TRIM(SUBSTITUTE(UPPER(B73),CHAR(160),"")))*
       (TRIM(SUBSTITUTE(UPPER($C$2:$C73),CHAR(160),""))=TRIM(SUBSTITUTE(UPPER(C73),CHAR(160),"")))*
       (TRIM(SUBSTITUTE(UPPER($D$2:$D73),CHAR(160),""))=TRIM(SUBSTITUTE(UPPER(D73),CHAR(160),"")))*
       (TRIM(SUBSTITUTE(UPPER($E$2:$E73),CHAR(160),""))=TRIM(SUBSTITUTE(UPPER(E73),CHAR(160),"")))
     )
  ),
  0
)</f>
        <v>0</v>
      </c>
      <c r="I73" s="8" cm="1">
        <f t="array" ref="I73">IFERROR(
  IF(D73&lt;&gt;"Tiphaine",
     0,
     SUMPRODUCT(
       (TRIM(SUBSTITUTE(UPPER($B$2:$B73),CHAR(160),""))=TRIM(SUBSTITUTE(UPPER(B73),CHAR(160),"")))*
       (TRIM(SUBSTITUTE(UPPER($C$2:$C73),CHAR(160),""))=TRIM(SUBSTITUTE(UPPER(C73),CHAR(160),"")))*
       (TRIM(SUBSTITUTE(UPPER($D$2:$D73),CHAR(160),""))=TRIM(SUBSTITUTE(UPPER(D73),CHAR(160),"")))*
       (TRIM(SUBSTITUTE(UPPER($E$2:$E73),CHAR(160),""))=TRIM(SUBSTITUTE(UPPER(E73),CHAR(160),"")))
     )
  ),
  0
)</f>
        <v>0</v>
      </c>
      <c r="J73" s="8" cm="1">
        <f t="array" ref="J73">IFERROR(
  IF(D73&lt;&gt;"Catherine",
     0,
     SUMPRODUCT(
       (TRIM(SUBSTITUTE(UPPER($B$2:$B73),CHAR(160),""))=TRIM(SUBSTITUTE(UPPER(B73),CHAR(160),"")))*
       (TRIM(SUBSTITUTE(UPPER($C$2:$C73),CHAR(160),""))=TRIM(SUBSTITUTE(UPPER(C73),CHAR(160),"")))*
       (TRIM(SUBSTITUTE(UPPER($D$2:$D73),CHAR(160),""))=TRIM(SUBSTITUTE(UPPER(D73),CHAR(160),"")))*
       (TRIM(SUBSTITUTE(UPPER($E$2:$E73),CHAR(160),""))=TRIM(SUBSTITUTE(UPPER(E73),CHAR(160),"")))
     )
  ),
  0
)</f>
        <v>0</v>
      </c>
      <c r="K73" s="9">
        <f>IFERROR(
  IF(
    D73&lt;&gt;"Cédric",
    0,
    IF(
      C73="",
      IF(
        COUNTIFS($B$2:B73,B73,$E$2:E73,E73,$D$2:D73,D73)=1,
        INDEX([1]DB!$A:$A,MATCH($E73,[1]DB!$D:$D,0)),
        IF(
          COUNTIFS($B$2:B73,B73,$E$2:E73,E73,$D$2:D73,D73)=2,
          INDEX([1]DB!$B:$B,MATCH($E73,[1]DB!$D:$D,0)),
          INDEX([1]DB!$C:$C,MATCH($E73,[1]DB!$D:$D,0))
        )
      ),
      IF(
        COUNTIFS($C$2:C73,C73,$E$2:E73,E73,$D$2:D73,D73)=1,
        INDEX([1]DB!$A:$A,MATCH($E73,[1]DB!$D:$D,0)),
        IF(
          COUNTIFS($C$2:C73,C73,$E$2:E73,E73,$D$2:D73,D73)=2,
          INDEX([1]DB!$B:$B,MATCH($E73,[1]DB!$D:$D,0)),
          INDEX([1]DB!$C:$C,MATCH($E73,[1]DB!$D:$D,0))
        )
      )
    )
  ),
  0
)</f>
        <v>0</v>
      </c>
      <c r="L73" s="9">
        <f>IFERROR(
  IF(
    D73&lt;&gt;"Geoffroy",
    0,
    IF(
      C73="",
      IF(
        COUNTIFS($B$2:B73,B73,$E$2:E73,E73,$D$2:D73,D73)=1,
        INDEX([1]DB!$A:$A,MATCH($E73,[1]DB!$D:$D,0)),
        IF(
          COUNTIFS($B$2:B73,B73,$E$2:E73,E73,$D$2:D73,D73)=2,
          INDEX([1]DB!$B:$B,MATCH($E73,[1]DB!$D:$D,0)),
          INDEX([1]DB!$C:$C,MATCH($E73,[1]DB!$D:$D,0))
        )
      ),
      IF(
        COUNTIFS($C$2:C73,C73,$E$2:E73,E73,$D$2:D73,D73)=1,
        INDEX([1]DB!$A:$A,MATCH($E73,[1]DB!$D:$D,0)),
        IF(
          COUNTIFS($C$2:C73,C73,$E$2:E73,E73,$D$2:D73,D73)=2,
          INDEX([1]DB!$B:$B,MATCH($E73,[1]DB!$D:$D,0)),
          INDEX([1]DB!$C:$C,MATCH($E73,[1]DB!$D:$D,0))
        )
      )
    )
  ),
  0
)</f>
        <v>0</v>
      </c>
      <c r="M73" s="9">
        <f>IFERROR(
  IF(
    D73&lt;&gt;"Tiphaine",
    0,
    IF(
      C73="",
      IF(
        COUNTIFS($B$2:B73,B73,$E$2:E73,E73,$D$2:D73,D73)=1,
        INDEX([1]DB!$A:$A,MATCH($E73,[1]DB!$D:$D,0)),
        IF(
          COUNTIFS($B$2:B73,B73,$E$2:E73,E73,$D$2:D73,D73)=2,
          INDEX([1]DB!$B:$B,MATCH($E73,[1]DB!$D:$D,0)),
          INDEX([1]DB!$C:$C,MATCH($E73,[1]DB!$D:$D,0))
        )
      ),
      IF(
        COUNTIFS($C$2:C73,C73,$E$2:E73,E73,$D$2:D73,D73)=1,
        INDEX([1]DB!$A:$A,MATCH($E73,[1]DB!$D:$D,0)),
        IF(
          COUNTIFS($C$2:C73,C73,$E$2:E73,E73,$D$2:D73,D73)=2,
          INDEX([1]DB!$B:$B,MATCH($E73,[1]DB!$D:$D,0)),
          INDEX([1]DB!$C:$C,MATCH($E73,[1]DB!$D:$D,0))
        )
      )
    )
  ),
  0
)</f>
        <v>0</v>
      </c>
      <c r="N73" s="9">
        <f>IFERROR(
  IF(
    D73&lt;&gt;"Catherine",
    0,
    IF(
      C73="",
      IF(
        COUNTIFS($B$2:B73,B73,$E$2:E73,E73,$D$2:D73,D73)=1,
        INDEX([1]DB!$A:$A,MATCH($E73,[1]DB!$D:$D,0)),
        IF(
          COUNTIFS($B$2:B73,B73,$E$2:E73,E73,$D$2:D73,D73)=2,
          INDEX([1]DB!$B:$B,MATCH($E73,[1]DB!$D:$D,0)),
          INDEX([1]DB!$C:$C,MATCH($E73,[1]DB!$D:$D,0))
        )
      ),
      IF(
        COUNTIFS($C$2:C73,C73,$E$2:E73,E73,$D$2:D73,D73)=1,
        INDEX([1]DB!$A:$A,MATCH($E73,[1]DB!$D:$D,0)),
        IF(
          COUNTIFS($C$2:C73,C73,$E$2:E73,E73,$D$2:D73,D73)=2,
          INDEX([1]DB!$B:$B,MATCH($E73,[1]DB!$D:$D,0)),
          INDEX([1]DB!$C:$C,MATCH($E73,[1]DB!$D:$D,0))
        )
      )
    )
  ),
  0
)</f>
        <v>0</v>
      </c>
      <c r="O73" s="5" t="str">
        <f>IF(DAY(A73)&lt;=15,UPPER(LEFT(TEXT(A73,"mmmm"),1))&amp;RIGHT(TEXT(A73,"mmmm"),LEN(TEXT(A73,"mmmm"))-1),UPPER(LEFT(TEXT(DATE(YEAR(A73),MONTH(A73)+1,1),"mmmm"),1))&amp;RIGHT(TEXT(DATE(YEAR(A73),MONTH(A73)+1,1),"mmmm"),LEN(TEXT(DATE(YEAR(A73),MONTH(A73)+1,1),"mmmm"))-1))</f>
        <v>Janvier</v>
      </c>
      <c r="P73" s="6" t="str">
        <f ca="1">IF(AND(A73&lt;=TODAY(),F73&lt;&gt;""),"OK","NON")</f>
        <v>NON</v>
      </c>
    </row>
    <row r="74" spans="1:16">
      <c r="A74" s="4"/>
      <c r="B74" s="5"/>
      <c r="C74" s="5"/>
      <c r="D74" s="6"/>
      <c r="E74" s="6"/>
      <c r="F74" s="7"/>
      <c r="G74" s="8" cm="1">
        <f t="array" ref="G74">IFERROR(
  IF(D74&lt;&gt;"Cédric",
     0,
     SUMPRODUCT(
       (TRIM(SUBSTITUTE(UPPER($B$2:$B74),CHAR(160),""))=TRIM(SUBSTITUTE(UPPER(B74),CHAR(160),"")))*
       (TRIM(SUBSTITUTE(UPPER($C$2:$C74),CHAR(160),""))=TRIM(SUBSTITUTE(UPPER(C74),CHAR(160),"")))*
       (TRIM(SUBSTITUTE(UPPER($D$2:$D74),CHAR(160),""))=TRIM(SUBSTITUTE(UPPER(D74),CHAR(160),"")))*
       (TRIM(SUBSTITUTE(UPPER($E$2:$E74),CHAR(160),""))=TRIM(SUBSTITUTE(UPPER(E74),CHAR(160),"")))
     )
  ),
  0
)</f>
        <v>0</v>
      </c>
      <c r="H74" s="8" cm="1">
        <f t="array" ref="H74">IFERROR(
  IF(D74&lt;&gt;"Geoffroy",
     0,
     SUMPRODUCT(
       (TRIM(SUBSTITUTE(UPPER($B$2:$B74),CHAR(160),""))=TRIM(SUBSTITUTE(UPPER(B74),CHAR(160),"")))*
       (TRIM(SUBSTITUTE(UPPER($C$2:$C74),CHAR(160),""))=TRIM(SUBSTITUTE(UPPER(C74),CHAR(160),"")))*
       (TRIM(SUBSTITUTE(UPPER($D$2:$D74),CHAR(160),""))=TRIM(SUBSTITUTE(UPPER(D74),CHAR(160),"")))*
       (TRIM(SUBSTITUTE(UPPER($E$2:$E74),CHAR(160),""))=TRIM(SUBSTITUTE(UPPER(E74),CHAR(160),"")))
     )
  ),
  0
)</f>
        <v>0</v>
      </c>
      <c r="I74" s="8" cm="1">
        <f t="array" ref="I74">IFERROR(
  IF(D74&lt;&gt;"Tiphaine",
     0,
     SUMPRODUCT(
       (TRIM(SUBSTITUTE(UPPER($B$2:$B74),CHAR(160),""))=TRIM(SUBSTITUTE(UPPER(B74),CHAR(160),"")))*
       (TRIM(SUBSTITUTE(UPPER($C$2:$C74),CHAR(160),""))=TRIM(SUBSTITUTE(UPPER(C74),CHAR(160),"")))*
       (TRIM(SUBSTITUTE(UPPER($D$2:$D74),CHAR(160),""))=TRIM(SUBSTITUTE(UPPER(D74),CHAR(160),"")))*
       (TRIM(SUBSTITUTE(UPPER($E$2:$E74),CHAR(160),""))=TRIM(SUBSTITUTE(UPPER(E74),CHAR(160),"")))
     )
  ),
  0
)</f>
        <v>0</v>
      </c>
      <c r="J74" s="8" cm="1">
        <f t="array" ref="J74">IFERROR(
  IF(D74&lt;&gt;"Catherine",
     0,
     SUMPRODUCT(
       (TRIM(SUBSTITUTE(UPPER($B$2:$B74),CHAR(160),""))=TRIM(SUBSTITUTE(UPPER(B74),CHAR(160),"")))*
       (TRIM(SUBSTITUTE(UPPER($C$2:$C74),CHAR(160),""))=TRIM(SUBSTITUTE(UPPER(C74),CHAR(160),"")))*
       (TRIM(SUBSTITUTE(UPPER($D$2:$D74),CHAR(160),""))=TRIM(SUBSTITUTE(UPPER(D74),CHAR(160),"")))*
       (TRIM(SUBSTITUTE(UPPER($E$2:$E74),CHAR(160),""))=TRIM(SUBSTITUTE(UPPER(E74),CHAR(160),"")))
     )
  ),
  0
)</f>
        <v>0</v>
      </c>
      <c r="K74" s="9">
        <f>IFERROR(
  IF(
    D74&lt;&gt;"Cédric",
    0,
    IF(
      C74="",
      IF(
        COUNTIFS($B$2:B74,B74,$E$2:E74,E74,$D$2:D74,D74)=1,
        INDEX([1]DB!$A:$A,MATCH($E74,[1]DB!$D:$D,0)),
        IF(
          COUNTIFS($B$2:B74,B74,$E$2:E74,E74,$D$2:D74,D74)=2,
          INDEX([1]DB!$B:$B,MATCH($E74,[1]DB!$D:$D,0)),
          INDEX([1]DB!$C:$C,MATCH($E74,[1]DB!$D:$D,0))
        )
      ),
      IF(
        COUNTIFS($C$2:C74,C74,$E$2:E74,E74,$D$2:D74,D74)=1,
        INDEX([1]DB!$A:$A,MATCH($E74,[1]DB!$D:$D,0)),
        IF(
          COUNTIFS($C$2:C74,C74,$E$2:E74,E74,$D$2:D74,D74)=2,
          INDEX([1]DB!$B:$B,MATCH($E74,[1]DB!$D:$D,0)),
          INDEX([1]DB!$C:$C,MATCH($E74,[1]DB!$D:$D,0))
        )
      )
    )
  ),
  0
)</f>
        <v>0</v>
      </c>
      <c r="L74" s="9">
        <f>IFERROR(
  IF(
    D74&lt;&gt;"Geoffroy",
    0,
    IF(
      C74="",
      IF(
        COUNTIFS($B$2:B74,B74,$E$2:E74,E74,$D$2:D74,D74)=1,
        INDEX([1]DB!$A:$A,MATCH($E74,[1]DB!$D:$D,0)),
        IF(
          COUNTIFS($B$2:B74,B74,$E$2:E74,E74,$D$2:D74,D74)=2,
          INDEX([1]DB!$B:$B,MATCH($E74,[1]DB!$D:$D,0)),
          INDEX([1]DB!$C:$C,MATCH($E74,[1]DB!$D:$D,0))
        )
      ),
      IF(
        COUNTIFS($C$2:C74,C74,$E$2:E74,E74,$D$2:D74,D74)=1,
        INDEX([1]DB!$A:$A,MATCH($E74,[1]DB!$D:$D,0)),
        IF(
          COUNTIFS($C$2:C74,C74,$E$2:E74,E74,$D$2:D74,D74)=2,
          INDEX([1]DB!$B:$B,MATCH($E74,[1]DB!$D:$D,0)),
          INDEX([1]DB!$C:$C,MATCH($E74,[1]DB!$D:$D,0))
        )
      )
    )
  ),
  0
)</f>
        <v>0</v>
      </c>
      <c r="M74" s="9">
        <f>IFERROR(
  IF(
    D74&lt;&gt;"Tiphaine",
    0,
    IF(
      C74="",
      IF(
        COUNTIFS($B$2:B74,B74,$E$2:E74,E74,$D$2:D74,D74)=1,
        INDEX([1]DB!$A:$A,MATCH($E74,[1]DB!$D:$D,0)),
        IF(
          COUNTIFS($B$2:B74,B74,$E$2:E74,E74,$D$2:D74,D74)=2,
          INDEX([1]DB!$B:$B,MATCH($E74,[1]DB!$D:$D,0)),
          INDEX([1]DB!$C:$C,MATCH($E74,[1]DB!$D:$D,0))
        )
      ),
      IF(
        COUNTIFS($C$2:C74,C74,$E$2:E74,E74,$D$2:D74,D74)=1,
        INDEX([1]DB!$A:$A,MATCH($E74,[1]DB!$D:$D,0)),
        IF(
          COUNTIFS($C$2:C74,C74,$E$2:E74,E74,$D$2:D74,D74)=2,
          INDEX([1]DB!$B:$B,MATCH($E74,[1]DB!$D:$D,0)),
          INDEX([1]DB!$C:$C,MATCH($E74,[1]DB!$D:$D,0))
        )
      )
    )
  ),
  0
)</f>
        <v>0</v>
      </c>
      <c r="N74" s="9">
        <f>IFERROR(
  IF(
    D74&lt;&gt;"Catherine",
    0,
    IF(
      C74="",
      IF(
        COUNTIFS($B$2:B74,B74,$E$2:E74,E74,$D$2:D74,D74)=1,
        INDEX([1]DB!$A:$A,MATCH($E74,[1]DB!$D:$D,0)),
        IF(
          COUNTIFS($B$2:B74,B74,$E$2:E74,E74,$D$2:D74,D74)=2,
          INDEX([1]DB!$B:$B,MATCH($E74,[1]DB!$D:$D,0)),
          INDEX([1]DB!$C:$C,MATCH($E74,[1]DB!$D:$D,0))
        )
      ),
      IF(
        COUNTIFS($C$2:C74,C74,$E$2:E74,E74,$D$2:D74,D74)=1,
        INDEX([1]DB!$A:$A,MATCH($E74,[1]DB!$D:$D,0)),
        IF(
          COUNTIFS($C$2:C74,C74,$E$2:E74,E74,$D$2:D74,D74)=2,
          INDEX([1]DB!$B:$B,MATCH($E74,[1]DB!$D:$D,0)),
          INDEX([1]DB!$C:$C,MATCH($E74,[1]DB!$D:$D,0))
        )
      )
    )
  ),
  0
)</f>
        <v>0</v>
      </c>
      <c r="O74" s="5" t="str">
        <f>IF(DAY(A74)&lt;=15,UPPER(LEFT(TEXT(A74,"mmmm"),1))&amp;RIGHT(TEXT(A74,"mmmm"),LEN(TEXT(A74,"mmmm"))-1),UPPER(LEFT(TEXT(DATE(YEAR(A74),MONTH(A74)+1,1),"mmmm"),1))&amp;RIGHT(TEXT(DATE(YEAR(A74),MONTH(A74)+1,1),"mmmm"),LEN(TEXT(DATE(YEAR(A74),MONTH(A74)+1,1),"mmmm"))-1))</f>
        <v>Janvier</v>
      </c>
      <c r="P74" s="6" t="str">
        <f ca="1">IF(AND(A74&lt;=TODAY(),F74&lt;&gt;""),"OK","NON")</f>
        <v>NON</v>
      </c>
    </row>
    <row r="75" spans="1:16">
      <c r="A75" s="4"/>
      <c r="B75" s="5"/>
      <c r="C75" s="5"/>
      <c r="D75" s="6"/>
      <c r="E75" s="6"/>
      <c r="F75" s="7"/>
      <c r="G75" s="8" cm="1">
        <f t="array" ref="G75">IFERROR(
  IF(D75&lt;&gt;"Cédric",
     0,
     SUMPRODUCT(
       (TRIM(SUBSTITUTE(UPPER($B$2:$B75),CHAR(160),""))=TRIM(SUBSTITUTE(UPPER(B75),CHAR(160),"")))*
       (TRIM(SUBSTITUTE(UPPER($C$2:$C75),CHAR(160),""))=TRIM(SUBSTITUTE(UPPER(C75),CHAR(160),"")))*
       (TRIM(SUBSTITUTE(UPPER($D$2:$D75),CHAR(160),""))=TRIM(SUBSTITUTE(UPPER(D75),CHAR(160),"")))*
       (TRIM(SUBSTITUTE(UPPER($E$2:$E75),CHAR(160),""))=TRIM(SUBSTITUTE(UPPER(E75),CHAR(160),"")))
     )
  ),
  0
)</f>
        <v>0</v>
      </c>
      <c r="H75" s="8" cm="1">
        <f t="array" ref="H75">IFERROR(
  IF(D75&lt;&gt;"Geoffroy",
     0,
     SUMPRODUCT(
       (TRIM(SUBSTITUTE(UPPER($B$2:$B75),CHAR(160),""))=TRIM(SUBSTITUTE(UPPER(B75),CHAR(160),"")))*
       (TRIM(SUBSTITUTE(UPPER($C$2:$C75),CHAR(160),""))=TRIM(SUBSTITUTE(UPPER(C75),CHAR(160),"")))*
       (TRIM(SUBSTITUTE(UPPER($D$2:$D75),CHAR(160),""))=TRIM(SUBSTITUTE(UPPER(D75),CHAR(160),"")))*
       (TRIM(SUBSTITUTE(UPPER($E$2:$E75),CHAR(160),""))=TRIM(SUBSTITUTE(UPPER(E75),CHAR(160),"")))
     )
  ),
  0
)</f>
        <v>0</v>
      </c>
      <c r="I75" s="8" cm="1">
        <f t="array" ref="I75">IFERROR(
  IF(D75&lt;&gt;"Tiphaine",
     0,
     SUMPRODUCT(
       (TRIM(SUBSTITUTE(UPPER($B$2:$B75),CHAR(160),""))=TRIM(SUBSTITUTE(UPPER(B75),CHAR(160),"")))*
       (TRIM(SUBSTITUTE(UPPER($C$2:$C75),CHAR(160),""))=TRIM(SUBSTITUTE(UPPER(C75),CHAR(160),"")))*
       (TRIM(SUBSTITUTE(UPPER($D$2:$D75),CHAR(160),""))=TRIM(SUBSTITUTE(UPPER(D75),CHAR(160),"")))*
       (TRIM(SUBSTITUTE(UPPER($E$2:$E75),CHAR(160),""))=TRIM(SUBSTITUTE(UPPER(E75),CHAR(160),"")))
     )
  ),
  0
)</f>
        <v>0</v>
      </c>
      <c r="J75" s="8" cm="1">
        <f t="array" ref="J75">IFERROR(
  IF(D75&lt;&gt;"Catherine",
     0,
     SUMPRODUCT(
       (TRIM(SUBSTITUTE(UPPER($B$2:$B75),CHAR(160),""))=TRIM(SUBSTITUTE(UPPER(B75),CHAR(160),"")))*
       (TRIM(SUBSTITUTE(UPPER($C$2:$C75),CHAR(160),""))=TRIM(SUBSTITUTE(UPPER(C75),CHAR(160),"")))*
       (TRIM(SUBSTITUTE(UPPER($D$2:$D75),CHAR(160),""))=TRIM(SUBSTITUTE(UPPER(D75),CHAR(160),"")))*
       (TRIM(SUBSTITUTE(UPPER($E$2:$E75),CHAR(160),""))=TRIM(SUBSTITUTE(UPPER(E75),CHAR(160),"")))
     )
  ),
  0
)</f>
        <v>0</v>
      </c>
      <c r="K75" s="9">
        <f>IFERROR(
  IF(
    D75&lt;&gt;"Cédric",
    0,
    IF(
      C75="",
      IF(
        COUNTIFS($B$2:B75,B75,$E$2:E75,E75,$D$2:D75,D75)=1,
        INDEX([1]DB!$A:$A,MATCH($E75,[1]DB!$D:$D,0)),
        IF(
          COUNTIFS($B$2:B75,B75,$E$2:E75,E75,$D$2:D75,D75)=2,
          INDEX([1]DB!$B:$B,MATCH($E75,[1]DB!$D:$D,0)),
          INDEX([1]DB!$C:$C,MATCH($E75,[1]DB!$D:$D,0))
        )
      ),
      IF(
        COUNTIFS($C$2:C75,C75,$E$2:E75,E75,$D$2:D75,D75)=1,
        INDEX([1]DB!$A:$A,MATCH($E75,[1]DB!$D:$D,0)),
        IF(
          COUNTIFS($C$2:C75,C75,$E$2:E75,E75,$D$2:D75,D75)=2,
          INDEX([1]DB!$B:$B,MATCH($E75,[1]DB!$D:$D,0)),
          INDEX([1]DB!$C:$C,MATCH($E75,[1]DB!$D:$D,0))
        )
      )
    )
  ),
  0
)</f>
        <v>0</v>
      </c>
      <c r="L75" s="9">
        <f>IFERROR(
  IF(
    D75&lt;&gt;"Geoffroy",
    0,
    IF(
      C75="",
      IF(
        COUNTIFS($B$2:B75,B75,$E$2:E75,E75,$D$2:D75,D75)=1,
        INDEX([1]DB!$A:$A,MATCH($E75,[1]DB!$D:$D,0)),
        IF(
          COUNTIFS($B$2:B75,B75,$E$2:E75,E75,$D$2:D75,D75)=2,
          INDEX([1]DB!$B:$B,MATCH($E75,[1]DB!$D:$D,0)),
          INDEX([1]DB!$C:$C,MATCH($E75,[1]DB!$D:$D,0))
        )
      ),
      IF(
        COUNTIFS($C$2:C75,C75,$E$2:E75,E75,$D$2:D75,D75)=1,
        INDEX([1]DB!$A:$A,MATCH($E75,[1]DB!$D:$D,0)),
        IF(
          COUNTIFS($C$2:C75,C75,$E$2:E75,E75,$D$2:D75,D75)=2,
          INDEX([1]DB!$B:$B,MATCH($E75,[1]DB!$D:$D,0)),
          INDEX([1]DB!$C:$C,MATCH($E75,[1]DB!$D:$D,0))
        )
      )
    )
  ),
  0
)</f>
        <v>0</v>
      </c>
      <c r="M75" s="9">
        <f>IFERROR(
  IF(
    D75&lt;&gt;"Tiphaine",
    0,
    IF(
      C75="",
      IF(
        COUNTIFS($B$2:B75,B75,$E$2:E75,E75,$D$2:D75,D75)=1,
        INDEX([1]DB!$A:$A,MATCH($E75,[1]DB!$D:$D,0)),
        IF(
          COUNTIFS($B$2:B75,B75,$E$2:E75,E75,$D$2:D75,D75)=2,
          INDEX([1]DB!$B:$B,MATCH($E75,[1]DB!$D:$D,0)),
          INDEX([1]DB!$C:$C,MATCH($E75,[1]DB!$D:$D,0))
        )
      ),
      IF(
        COUNTIFS($C$2:C75,C75,$E$2:E75,E75,$D$2:D75,D75)=1,
        INDEX([1]DB!$A:$A,MATCH($E75,[1]DB!$D:$D,0)),
        IF(
          COUNTIFS($C$2:C75,C75,$E$2:E75,E75,$D$2:D75,D75)=2,
          INDEX([1]DB!$B:$B,MATCH($E75,[1]DB!$D:$D,0)),
          INDEX([1]DB!$C:$C,MATCH($E75,[1]DB!$D:$D,0))
        )
      )
    )
  ),
  0
)</f>
        <v>0</v>
      </c>
      <c r="N75" s="9">
        <f>IFERROR(
  IF(
    D75&lt;&gt;"Catherine",
    0,
    IF(
      C75="",
      IF(
        COUNTIFS($B$2:B75,B75,$E$2:E75,E75,$D$2:D75,D75)=1,
        INDEX([1]DB!$A:$A,MATCH($E75,[1]DB!$D:$D,0)),
        IF(
          COUNTIFS($B$2:B75,B75,$E$2:E75,E75,$D$2:D75,D75)=2,
          INDEX([1]DB!$B:$B,MATCH($E75,[1]DB!$D:$D,0)),
          INDEX([1]DB!$C:$C,MATCH($E75,[1]DB!$D:$D,0))
        )
      ),
      IF(
        COUNTIFS($C$2:C75,C75,$E$2:E75,E75,$D$2:D75,D75)=1,
        INDEX([1]DB!$A:$A,MATCH($E75,[1]DB!$D:$D,0)),
        IF(
          COUNTIFS($C$2:C75,C75,$E$2:E75,E75,$D$2:D75,D75)=2,
          INDEX([1]DB!$B:$B,MATCH($E75,[1]DB!$D:$D,0)),
          INDEX([1]DB!$C:$C,MATCH($E75,[1]DB!$D:$D,0))
        )
      )
    )
  ),
  0
)</f>
        <v>0</v>
      </c>
      <c r="O75" s="5" t="str">
        <f>IF(DAY(A75)&lt;=15,UPPER(LEFT(TEXT(A75,"mmmm"),1))&amp;RIGHT(TEXT(A75,"mmmm"),LEN(TEXT(A75,"mmmm"))-1),UPPER(LEFT(TEXT(DATE(YEAR(A75),MONTH(A75)+1,1),"mmmm"),1))&amp;RIGHT(TEXT(DATE(YEAR(A75),MONTH(A75)+1,1),"mmmm"),LEN(TEXT(DATE(YEAR(A75),MONTH(A75)+1,1),"mmmm"))-1))</f>
        <v>Janvier</v>
      </c>
      <c r="P75" s="6" t="str">
        <f ca="1">IF(AND(A75&lt;=TODAY(),F75&lt;&gt;""),"OK","NON")</f>
        <v>NON</v>
      </c>
    </row>
    <row r="76" spans="1:16">
      <c r="A76" s="4"/>
      <c r="B76" s="5"/>
      <c r="C76" s="5"/>
      <c r="D76" s="6"/>
      <c r="E76" s="6"/>
      <c r="F76" s="7"/>
      <c r="G76" s="8" cm="1">
        <f t="array" ref="G76">IFERROR(
  IF(D76&lt;&gt;"Cédric",
     0,
     SUMPRODUCT(
       (TRIM(SUBSTITUTE(UPPER($B$2:$B76),CHAR(160),""))=TRIM(SUBSTITUTE(UPPER(B76),CHAR(160),"")))*
       (TRIM(SUBSTITUTE(UPPER($C$2:$C76),CHAR(160),""))=TRIM(SUBSTITUTE(UPPER(C76),CHAR(160),"")))*
       (TRIM(SUBSTITUTE(UPPER($D$2:$D76),CHAR(160),""))=TRIM(SUBSTITUTE(UPPER(D76),CHAR(160),"")))*
       (TRIM(SUBSTITUTE(UPPER($E$2:$E76),CHAR(160),""))=TRIM(SUBSTITUTE(UPPER(E76),CHAR(160),"")))
     )
  ),
  0
)</f>
        <v>0</v>
      </c>
      <c r="H76" s="8" cm="1">
        <f t="array" ref="H76">IFERROR(
  IF(D76&lt;&gt;"Geoffroy",
     0,
     SUMPRODUCT(
       (TRIM(SUBSTITUTE(UPPER($B$2:$B76),CHAR(160),""))=TRIM(SUBSTITUTE(UPPER(B76),CHAR(160),"")))*
       (TRIM(SUBSTITUTE(UPPER($C$2:$C76),CHAR(160),""))=TRIM(SUBSTITUTE(UPPER(C76),CHAR(160),"")))*
       (TRIM(SUBSTITUTE(UPPER($D$2:$D76),CHAR(160),""))=TRIM(SUBSTITUTE(UPPER(D76),CHAR(160),"")))*
       (TRIM(SUBSTITUTE(UPPER($E$2:$E76),CHAR(160),""))=TRIM(SUBSTITUTE(UPPER(E76),CHAR(160),"")))
     )
  ),
  0
)</f>
        <v>0</v>
      </c>
      <c r="I76" s="8" cm="1">
        <f t="array" ref="I76">IFERROR(
  IF(D76&lt;&gt;"Tiphaine",
     0,
     SUMPRODUCT(
       (TRIM(SUBSTITUTE(UPPER($B$2:$B76),CHAR(160),""))=TRIM(SUBSTITUTE(UPPER(B76),CHAR(160),"")))*
       (TRIM(SUBSTITUTE(UPPER($C$2:$C76),CHAR(160),""))=TRIM(SUBSTITUTE(UPPER(C76),CHAR(160),"")))*
       (TRIM(SUBSTITUTE(UPPER($D$2:$D76),CHAR(160),""))=TRIM(SUBSTITUTE(UPPER(D76),CHAR(160),"")))*
       (TRIM(SUBSTITUTE(UPPER($E$2:$E76),CHAR(160),""))=TRIM(SUBSTITUTE(UPPER(E76),CHAR(160),"")))
     )
  ),
  0
)</f>
        <v>0</v>
      </c>
      <c r="J76" s="8" cm="1">
        <f t="array" ref="J76">IFERROR(
  IF(D76&lt;&gt;"Catherine",
     0,
     SUMPRODUCT(
       (TRIM(SUBSTITUTE(UPPER($B$2:$B76),CHAR(160),""))=TRIM(SUBSTITUTE(UPPER(B76),CHAR(160),"")))*
       (TRIM(SUBSTITUTE(UPPER($C$2:$C76),CHAR(160),""))=TRIM(SUBSTITUTE(UPPER(C76),CHAR(160),"")))*
       (TRIM(SUBSTITUTE(UPPER($D$2:$D76),CHAR(160),""))=TRIM(SUBSTITUTE(UPPER(D76),CHAR(160),"")))*
       (TRIM(SUBSTITUTE(UPPER($E$2:$E76),CHAR(160),""))=TRIM(SUBSTITUTE(UPPER(E76),CHAR(160),"")))
     )
  ),
  0
)</f>
        <v>0</v>
      </c>
      <c r="K76" s="9">
        <f>IFERROR(
  IF(
    D76&lt;&gt;"Cédric",
    0,
    IF(
      C76="",
      IF(
        COUNTIFS($B$2:B76,B76,$E$2:E76,E76,$D$2:D76,D76)=1,
        INDEX([1]DB!$A:$A,MATCH($E76,[1]DB!$D:$D,0)),
        IF(
          COUNTIFS($B$2:B76,B76,$E$2:E76,E76,$D$2:D76,D76)=2,
          INDEX([1]DB!$B:$B,MATCH($E76,[1]DB!$D:$D,0)),
          INDEX([1]DB!$C:$C,MATCH($E76,[1]DB!$D:$D,0))
        )
      ),
      IF(
        COUNTIFS($C$2:C76,C76,$E$2:E76,E76,$D$2:D76,D76)=1,
        INDEX([1]DB!$A:$A,MATCH($E76,[1]DB!$D:$D,0)),
        IF(
          COUNTIFS($C$2:C76,C76,$E$2:E76,E76,$D$2:D76,D76)=2,
          INDEX([1]DB!$B:$B,MATCH($E76,[1]DB!$D:$D,0)),
          INDEX([1]DB!$C:$C,MATCH($E76,[1]DB!$D:$D,0))
        )
      )
    )
  ),
  0
)</f>
        <v>0</v>
      </c>
      <c r="L76" s="9">
        <f>IFERROR(
  IF(
    D76&lt;&gt;"Geoffroy",
    0,
    IF(
      C76="",
      IF(
        COUNTIFS($B$2:B76,B76,$E$2:E76,E76,$D$2:D76,D76)=1,
        INDEX([1]DB!$A:$A,MATCH($E76,[1]DB!$D:$D,0)),
        IF(
          COUNTIFS($B$2:B76,B76,$E$2:E76,E76,$D$2:D76,D76)=2,
          INDEX([1]DB!$B:$B,MATCH($E76,[1]DB!$D:$D,0)),
          INDEX([1]DB!$C:$C,MATCH($E76,[1]DB!$D:$D,0))
        )
      ),
      IF(
        COUNTIFS($C$2:C76,C76,$E$2:E76,E76,$D$2:D76,D76)=1,
        INDEX([1]DB!$A:$A,MATCH($E76,[1]DB!$D:$D,0)),
        IF(
          COUNTIFS($C$2:C76,C76,$E$2:E76,E76,$D$2:D76,D76)=2,
          INDEX([1]DB!$B:$B,MATCH($E76,[1]DB!$D:$D,0)),
          INDEX([1]DB!$C:$C,MATCH($E76,[1]DB!$D:$D,0))
        )
      )
    )
  ),
  0
)</f>
        <v>0</v>
      </c>
      <c r="M76" s="9">
        <f>IFERROR(
  IF(
    D76&lt;&gt;"Tiphaine",
    0,
    IF(
      C76="",
      IF(
        COUNTIFS($B$2:B76,B76,$E$2:E76,E76,$D$2:D76,D76)=1,
        INDEX([1]DB!$A:$A,MATCH($E76,[1]DB!$D:$D,0)),
        IF(
          COUNTIFS($B$2:B76,B76,$E$2:E76,E76,$D$2:D76,D76)=2,
          INDEX([1]DB!$B:$B,MATCH($E76,[1]DB!$D:$D,0)),
          INDEX([1]DB!$C:$C,MATCH($E76,[1]DB!$D:$D,0))
        )
      ),
      IF(
        COUNTIFS($C$2:C76,C76,$E$2:E76,E76,$D$2:D76,D76)=1,
        INDEX([1]DB!$A:$A,MATCH($E76,[1]DB!$D:$D,0)),
        IF(
          COUNTIFS($C$2:C76,C76,$E$2:E76,E76,$D$2:D76,D76)=2,
          INDEX([1]DB!$B:$B,MATCH($E76,[1]DB!$D:$D,0)),
          INDEX([1]DB!$C:$C,MATCH($E76,[1]DB!$D:$D,0))
        )
      )
    )
  ),
  0
)</f>
        <v>0</v>
      </c>
      <c r="N76" s="9">
        <f>IFERROR(
  IF(
    D76&lt;&gt;"Catherine",
    0,
    IF(
      C76="",
      IF(
        COUNTIFS($B$2:B76,B76,$E$2:E76,E76,$D$2:D76,D76)=1,
        INDEX([1]DB!$A:$A,MATCH($E76,[1]DB!$D:$D,0)),
        IF(
          COUNTIFS($B$2:B76,B76,$E$2:E76,E76,$D$2:D76,D76)=2,
          INDEX([1]DB!$B:$B,MATCH($E76,[1]DB!$D:$D,0)),
          INDEX([1]DB!$C:$C,MATCH($E76,[1]DB!$D:$D,0))
        )
      ),
      IF(
        COUNTIFS($C$2:C76,C76,$E$2:E76,E76,$D$2:D76,D76)=1,
        INDEX([1]DB!$A:$A,MATCH($E76,[1]DB!$D:$D,0)),
        IF(
          COUNTIFS($C$2:C76,C76,$E$2:E76,E76,$D$2:D76,D76)=2,
          INDEX([1]DB!$B:$B,MATCH($E76,[1]DB!$D:$D,0)),
          INDEX([1]DB!$C:$C,MATCH($E76,[1]DB!$D:$D,0))
        )
      )
    )
  ),
  0
)</f>
        <v>0</v>
      </c>
      <c r="O76" s="5" t="str">
        <f>IF(DAY(A76)&lt;=15,UPPER(LEFT(TEXT(A76,"mmmm"),1))&amp;RIGHT(TEXT(A76,"mmmm"),LEN(TEXT(A76,"mmmm"))-1),UPPER(LEFT(TEXT(DATE(YEAR(A76),MONTH(A76)+1,1),"mmmm"),1))&amp;RIGHT(TEXT(DATE(YEAR(A76),MONTH(A76)+1,1),"mmmm"),LEN(TEXT(DATE(YEAR(A76),MONTH(A76)+1,1),"mmmm"))-1))</f>
        <v>Janvier</v>
      </c>
      <c r="P76" s="6" t="str">
        <f ca="1">IF(AND(A76&lt;=TODAY(),F76&lt;&gt;""),"OK","NON")</f>
        <v>NON</v>
      </c>
    </row>
    <row r="77" spans="1:16">
      <c r="A77" s="4"/>
      <c r="B77" s="5"/>
      <c r="C77" s="5"/>
      <c r="D77" s="6"/>
      <c r="E77" s="6"/>
      <c r="F77" s="7"/>
      <c r="G77" s="8" cm="1">
        <f t="array" ref="G77">IFERROR(
  IF(D77&lt;&gt;"Cédric",
     0,
     SUMPRODUCT(
       (TRIM(SUBSTITUTE(UPPER($B$2:$B77),CHAR(160),""))=TRIM(SUBSTITUTE(UPPER(B77),CHAR(160),"")))*
       (TRIM(SUBSTITUTE(UPPER($C$2:$C77),CHAR(160),""))=TRIM(SUBSTITUTE(UPPER(C77),CHAR(160),"")))*
       (TRIM(SUBSTITUTE(UPPER($D$2:$D77),CHAR(160),""))=TRIM(SUBSTITUTE(UPPER(D77),CHAR(160),"")))*
       (TRIM(SUBSTITUTE(UPPER($E$2:$E77),CHAR(160),""))=TRIM(SUBSTITUTE(UPPER(E77),CHAR(160),"")))
     )
  ),
  0
)</f>
        <v>0</v>
      </c>
      <c r="H77" s="8" cm="1">
        <f t="array" ref="H77">IFERROR(
  IF(D77&lt;&gt;"Geoffroy",
     0,
     SUMPRODUCT(
       (TRIM(SUBSTITUTE(UPPER($B$2:$B77),CHAR(160),""))=TRIM(SUBSTITUTE(UPPER(B77),CHAR(160),"")))*
       (TRIM(SUBSTITUTE(UPPER($C$2:$C77),CHAR(160),""))=TRIM(SUBSTITUTE(UPPER(C77),CHAR(160),"")))*
       (TRIM(SUBSTITUTE(UPPER($D$2:$D77),CHAR(160),""))=TRIM(SUBSTITUTE(UPPER(D77),CHAR(160),"")))*
       (TRIM(SUBSTITUTE(UPPER($E$2:$E77),CHAR(160),""))=TRIM(SUBSTITUTE(UPPER(E77),CHAR(160),"")))
     )
  ),
  0
)</f>
        <v>0</v>
      </c>
      <c r="I77" s="8" cm="1">
        <f t="array" ref="I77">IFERROR(
  IF(D77&lt;&gt;"Tiphaine",
     0,
     SUMPRODUCT(
       (TRIM(SUBSTITUTE(UPPER($B$2:$B77),CHAR(160),""))=TRIM(SUBSTITUTE(UPPER(B77),CHAR(160),"")))*
       (TRIM(SUBSTITUTE(UPPER($C$2:$C77),CHAR(160),""))=TRIM(SUBSTITUTE(UPPER(C77),CHAR(160),"")))*
       (TRIM(SUBSTITUTE(UPPER($D$2:$D77),CHAR(160),""))=TRIM(SUBSTITUTE(UPPER(D77),CHAR(160),"")))*
       (TRIM(SUBSTITUTE(UPPER($E$2:$E77),CHAR(160),""))=TRIM(SUBSTITUTE(UPPER(E77),CHAR(160),"")))
     )
  ),
  0
)</f>
        <v>0</v>
      </c>
      <c r="J77" s="8" cm="1">
        <f t="array" ref="J77">IFERROR(
  IF(D77&lt;&gt;"Catherine",
     0,
     SUMPRODUCT(
       (TRIM(SUBSTITUTE(UPPER($B$2:$B77),CHAR(160),""))=TRIM(SUBSTITUTE(UPPER(B77),CHAR(160),"")))*
       (TRIM(SUBSTITUTE(UPPER($C$2:$C77),CHAR(160),""))=TRIM(SUBSTITUTE(UPPER(C77),CHAR(160),"")))*
       (TRIM(SUBSTITUTE(UPPER($D$2:$D77),CHAR(160),""))=TRIM(SUBSTITUTE(UPPER(D77),CHAR(160),"")))*
       (TRIM(SUBSTITUTE(UPPER($E$2:$E77),CHAR(160),""))=TRIM(SUBSTITUTE(UPPER(E77),CHAR(160),"")))
     )
  ),
  0
)</f>
        <v>0</v>
      </c>
      <c r="K77" s="9">
        <f>IFERROR(
  IF(
    D77&lt;&gt;"Cédric",
    0,
    IF(
      C77="",
      IF(
        COUNTIFS($B$2:B77,B77,$E$2:E77,E77,$D$2:D77,D77)=1,
        INDEX([1]DB!$A:$A,MATCH($E77,[1]DB!$D:$D,0)),
        IF(
          COUNTIFS($B$2:B77,B77,$E$2:E77,E77,$D$2:D77,D77)=2,
          INDEX([1]DB!$B:$B,MATCH($E77,[1]DB!$D:$D,0)),
          INDEX([1]DB!$C:$C,MATCH($E77,[1]DB!$D:$D,0))
        )
      ),
      IF(
        COUNTIFS($C$2:C77,C77,$E$2:E77,E77,$D$2:D77,D77)=1,
        INDEX([1]DB!$A:$A,MATCH($E77,[1]DB!$D:$D,0)),
        IF(
          COUNTIFS($C$2:C77,C77,$E$2:E77,E77,$D$2:D77,D77)=2,
          INDEX([1]DB!$B:$B,MATCH($E77,[1]DB!$D:$D,0)),
          INDEX([1]DB!$C:$C,MATCH($E77,[1]DB!$D:$D,0))
        )
      )
    )
  ),
  0
)</f>
        <v>0</v>
      </c>
      <c r="L77" s="9">
        <f>IFERROR(
  IF(
    D77&lt;&gt;"Geoffroy",
    0,
    IF(
      C77="",
      IF(
        COUNTIFS($B$2:B77,B77,$E$2:E77,E77,$D$2:D77,D77)=1,
        INDEX([1]DB!$A:$A,MATCH($E77,[1]DB!$D:$D,0)),
        IF(
          COUNTIFS($B$2:B77,B77,$E$2:E77,E77,$D$2:D77,D77)=2,
          INDEX([1]DB!$B:$B,MATCH($E77,[1]DB!$D:$D,0)),
          INDEX([1]DB!$C:$C,MATCH($E77,[1]DB!$D:$D,0))
        )
      ),
      IF(
        COUNTIFS($C$2:C77,C77,$E$2:E77,E77,$D$2:D77,D77)=1,
        INDEX([1]DB!$A:$A,MATCH($E77,[1]DB!$D:$D,0)),
        IF(
          COUNTIFS($C$2:C77,C77,$E$2:E77,E77,$D$2:D77,D77)=2,
          INDEX([1]DB!$B:$B,MATCH($E77,[1]DB!$D:$D,0)),
          INDEX([1]DB!$C:$C,MATCH($E77,[1]DB!$D:$D,0))
        )
      )
    )
  ),
  0
)</f>
        <v>0</v>
      </c>
      <c r="M77" s="9">
        <f>IFERROR(
  IF(
    D77&lt;&gt;"Tiphaine",
    0,
    IF(
      C77="",
      IF(
        COUNTIFS($B$2:B77,B77,$E$2:E77,E77,$D$2:D77,D77)=1,
        INDEX([1]DB!$A:$A,MATCH($E77,[1]DB!$D:$D,0)),
        IF(
          COUNTIFS($B$2:B77,B77,$E$2:E77,E77,$D$2:D77,D77)=2,
          INDEX([1]DB!$B:$B,MATCH($E77,[1]DB!$D:$D,0)),
          INDEX([1]DB!$C:$C,MATCH($E77,[1]DB!$D:$D,0))
        )
      ),
      IF(
        COUNTIFS($C$2:C77,C77,$E$2:E77,E77,$D$2:D77,D77)=1,
        INDEX([1]DB!$A:$A,MATCH($E77,[1]DB!$D:$D,0)),
        IF(
          COUNTIFS($C$2:C77,C77,$E$2:E77,E77,$D$2:D77,D77)=2,
          INDEX([1]DB!$B:$B,MATCH($E77,[1]DB!$D:$D,0)),
          INDEX([1]DB!$C:$C,MATCH($E77,[1]DB!$D:$D,0))
        )
      )
    )
  ),
  0
)</f>
        <v>0</v>
      </c>
      <c r="N77" s="9">
        <f>IFERROR(
  IF(
    D77&lt;&gt;"Catherine",
    0,
    IF(
      C77="",
      IF(
        COUNTIFS($B$2:B77,B77,$E$2:E77,E77,$D$2:D77,D77)=1,
        INDEX([1]DB!$A:$A,MATCH($E77,[1]DB!$D:$D,0)),
        IF(
          COUNTIFS($B$2:B77,B77,$E$2:E77,E77,$D$2:D77,D77)=2,
          INDEX([1]DB!$B:$B,MATCH($E77,[1]DB!$D:$D,0)),
          INDEX([1]DB!$C:$C,MATCH($E77,[1]DB!$D:$D,0))
        )
      ),
      IF(
        COUNTIFS($C$2:C77,C77,$E$2:E77,E77,$D$2:D77,D77)=1,
        INDEX([1]DB!$A:$A,MATCH($E77,[1]DB!$D:$D,0)),
        IF(
          COUNTIFS($C$2:C77,C77,$E$2:E77,E77,$D$2:D77,D77)=2,
          INDEX([1]DB!$B:$B,MATCH($E77,[1]DB!$D:$D,0)),
          INDEX([1]DB!$C:$C,MATCH($E77,[1]DB!$D:$D,0))
        )
      )
    )
  ),
  0
)</f>
        <v>0</v>
      </c>
      <c r="O77" s="5" t="str">
        <f>IF(DAY(A77)&lt;=15,UPPER(LEFT(TEXT(A77,"mmmm"),1))&amp;RIGHT(TEXT(A77,"mmmm"),LEN(TEXT(A77,"mmmm"))-1),UPPER(LEFT(TEXT(DATE(YEAR(A77),MONTH(A77)+1,1),"mmmm"),1))&amp;RIGHT(TEXT(DATE(YEAR(A77),MONTH(A77)+1,1),"mmmm"),LEN(TEXT(DATE(YEAR(A77),MONTH(A77)+1,1),"mmmm"))-1))</f>
        <v>Janvier</v>
      </c>
      <c r="P77" s="6" t="str">
        <f ca="1">IF(AND(A77&lt;=TODAY(),F77&lt;&gt;""),"OK","NON")</f>
        <v>NON</v>
      </c>
    </row>
    <row r="78" spans="1:16">
      <c r="A78" s="4"/>
      <c r="B78" s="5"/>
      <c r="C78" s="5"/>
      <c r="D78" s="6"/>
      <c r="E78" s="6"/>
      <c r="F78" s="7"/>
      <c r="G78" s="8" cm="1">
        <f t="array" ref="G78">IFERROR(
  IF(D78&lt;&gt;"Cédric",
     0,
     SUMPRODUCT(
       (TRIM(SUBSTITUTE(UPPER($B$2:$B78),CHAR(160),""))=TRIM(SUBSTITUTE(UPPER(B78),CHAR(160),"")))*
       (TRIM(SUBSTITUTE(UPPER($C$2:$C78),CHAR(160),""))=TRIM(SUBSTITUTE(UPPER(C78),CHAR(160),"")))*
       (TRIM(SUBSTITUTE(UPPER($D$2:$D78),CHAR(160),""))=TRIM(SUBSTITUTE(UPPER(D78),CHAR(160),"")))*
       (TRIM(SUBSTITUTE(UPPER($E$2:$E78),CHAR(160),""))=TRIM(SUBSTITUTE(UPPER(E78),CHAR(160),"")))
     )
  ),
  0
)</f>
        <v>0</v>
      </c>
      <c r="H78" s="8" cm="1">
        <f t="array" ref="H78">IFERROR(
  IF(D78&lt;&gt;"Geoffroy",
     0,
     SUMPRODUCT(
       (TRIM(SUBSTITUTE(UPPER($B$2:$B78),CHAR(160),""))=TRIM(SUBSTITUTE(UPPER(B78),CHAR(160),"")))*
       (TRIM(SUBSTITUTE(UPPER($C$2:$C78),CHAR(160),""))=TRIM(SUBSTITUTE(UPPER(C78),CHAR(160),"")))*
       (TRIM(SUBSTITUTE(UPPER($D$2:$D78),CHAR(160),""))=TRIM(SUBSTITUTE(UPPER(D78),CHAR(160),"")))*
       (TRIM(SUBSTITUTE(UPPER($E$2:$E78),CHAR(160),""))=TRIM(SUBSTITUTE(UPPER(E78),CHAR(160),"")))
     )
  ),
  0
)</f>
        <v>0</v>
      </c>
      <c r="I78" s="8" cm="1">
        <f t="array" ref="I78">IFERROR(
  IF(D78&lt;&gt;"Tiphaine",
     0,
     SUMPRODUCT(
       (TRIM(SUBSTITUTE(UPPER($B$2:$B78),CHAR(160),""))=TRIM(SUBSTITUTE(UPPER(B78),CHAR(160),"")))*
       (TRIM(SUBSTITUTE(UPPER($C$2:$C78),CHAR(160),""))=TRIM(SUBSTITUTE(UPPER(C78),CHAR(160),"")))*
       (TRIM(SUBSTITUTE(UPPER($D$2:$D78),CHAR(160),""))=TRIM(SUBSTITUTE(UPPER(D78),CHAR(160),"")))*
       (TRIM(SUBSTITUTE(UPPER($E$2:$E78),CHAR(160),""))=TRIM(SUBSTITUTE(UPPER(E78),CHAR(160),"")))
     )
  ),
  0
)</f>
        <v>0</v>
      </c>
      <c r="J78" s="8" cm="1">
        <f t="array" ref="J78">IFERROR(
  IF(D78&lt;&gt;"Catherine",
     0,
     SUMPRODUCT(
       (TRIM(SUBSTITUTE(UPPER($B$2:$B78),CHAR(160),""))=TRIM(SUBSTITUTE(UPPER(B78),CHAR(160),"")))*
       (TRIM(SUBSTITUTE(UPPER($C$2:$C78),CHAR(160),""))=TRIM(SUBSTITUTE(UPPER(C78),CHAR(160),"")))*
       (TRIM(SUBSTITUTE(UPPER($D$2:$D78),CHAR(160),""))=TRIM(SUBSTITUTE(UPPER(D78),CHAR(160),"")))*
       (TRIM(SUBSTITUTE(UPPER($E$2:$E78),CHAR(160),""))=TRIM(SUBSTITUTE(UPPER(E78),CHAR(160),"")))
     )
  ),
  0
)</f>
        <v>0</v>
      </c>
      <c r="K78" s="9">
        <f>IFERROR(
  IF(
    D78&lt;&gt;"Cédric",
    0,
    IF(
      C78="",
      IF(
        COUNTIFS($B$2:B78,B78,$E$2:E78,E78,$D$2:D78,D78)=1,
        INDEX([1]DB!$A:$A,MATCH($E78,[1]DB!$D:$D,0)),
        IF(
          COUNTIFS($B$2:B78,B78,$E$2:E78,E78,$D$2:D78,D78)=2,
          INDEX([1]DB!$B:$B,MATCH($E78,[1]DB!$D:$D,0)),
          INDEX([1]DB!$C:$C,MATCH($E78,[1]DB!$D:$D,0))
        )
      ),
      IF(
        COUNTIFS($C$2:C78,C78,$E$2:E78,E78,$D$2:D78,D78)=1,
        INDEX([1]DB!$A:$A,MATCH($E78,[1]DB!$D:$D,0)),
        IF(
          COUNTIFS($C$2:C78,C78,$E$2:E78,E78,$D$2:D78,D78)=2,
          INDEX([1]DB!$B:$B,MATCH($E78,[1]DB!$D:$D,0)),
          INDEX([1]DB!$C:$C,MATCH($E78,[1]DB!$D:$D,0))
        )
      )
    )
  ),
  0
)</f>
        <v>0</v>
      </c>
      <c r="L78" s="9">
        <f>IFERROR(
  IF(
    D78&lt;&gt;"Geoffroy",
    0,
    IF(
      C78="",
      IF(
        COUNTIFS($B$2:B78,B78,$E$2:E78,E78,$D$2:D78,D78)=1,
        INDEX([1]DB!$A:$A,MATCH($E78,[1]DB!$D:$D,0)),
        IF(
          COUNTIFS($B$2:B78,B78,$E$2:E78,E78,$D$2:D78,D78)=2,
          INDEX([1]DB!$B:$B,MATCH($E78,[1]DB!$D:$D,0)),
          INDEX([1]DB!$C:$C,MATCH($E78,[1]DB!$D:$D,0))
        )
      ),
      IF(
        COUNTIFS($C$2:C78,C78,$E$2:E78,E78,$D$2:D78,D78)=1,
        INDEX([1]DB!$A:$A,MATCH($E78,[1]DB!$D:$D,0)),
        IF(
          COUNTIFS($C$2:C78,C78,$E$2:E78,E78,$D$2:D78,D78)=2,
          INDEX([1]DB!$B:$B,MATCH($E78,[1]DB!$D:$D,0)),
          INDEX([1]DB!$C:$C,MATCH($E78,[1]DB!$D:$D,0))
        )
      )
    )
  ),
  0
)</f>
        <v>0</v>
      </c>
      <c r="M78" s="9">
        <f>IFERROR(
  IF(
    D78&lt;&gt;"Tiphaine",
    0,
    IF(
      C78="",
      IF(
        COUNTIFS($B$2:B78,B78,$E$2:E78,E78,$D$2:D78,D78)=1,
        INDEX([1]DB!$A:$A,MATCH($E78,[1]DB!$D:$D,0)),
        IF(
          COUNTIFS($B$2:B78,B78,$E$2:E78,E78,$D$2:D78,D78)=2,
          INDEX([1]DB!$B:$B,MATCH($E78,[1]DB!$D:$D,0)),
          INDEX([1]DB!$C:$C,MATCH($E78,[1]DB!$D:$D,0))
        )
      ),
      IF(
        COUNTIFS($C$2:C78,C78,$E$2:E78,E78,$D$2:D78,D78)=1,
        INDEX([1]DB!$A:$A,MATCH($E78,[1]DB!$D:$D,0)),
        IF(
          COUNTIFS($C$2:C78,C78,$E$2:E78,E78,$D$2:D78,D78)=2,
          INDEX([1]DB!$B:$B,MATCH($E78,[1]DB!$D:$D,0)),
          INDEX([1]DB!$C:$C,MATCH($E78,[1]DB!$D:$D,0))
        )
      )
    )
  ),
  0
)</f>
        <v>0</v>
      </c>
      <c r="N78" s="9">
        <f>IFERROR(
  IF(
    D78&lt;&gt;"Catherine",
    0,
    IF(
      C78="",
      IF(
        COUNTIFS($B$2:B78,B78,$E$2:E78,E78,$D$2:D78,D78)=1,
        INDEX([1]DB!$A:$A,MATCH($E78,[1]DB!$D:$D,0)),
        IF(
          COUNTIFS($B$2:B78,B78,$E$2:E78,E78,$D$2:D78,D78)=2,
          INDEX([1]DB!$B:$B,MATCH($E78,[1]DB!$D:$D,0)),
          INDEX([1]DB!$C:$C,MATCH($E78,[1]DB!$D:$D,0))
        )
      ),
      IF(
        COUNTIFS($C$2:C78,C78,$E$2:E78,E78,$D$2:D78,D78)=1,
        INDEX([1]DB!$A:$A,MATCH($E78,[1]DB!$D:$D,0)),
        IF(
          COUNTIFS($C$2:C78,C78,$E$2:E78,E78,$D$2:D78,D78)=2,
          INDEX([1]DB!$B:$B,MATCH($E78,[1]DB!$D:$D,0)),
          INDEX([1]DB!$C:$C,MATCH($E78,[1]DB!$D:$D,0))
        )
      )
    )
  ),
  0
)</f>
        <v>0</v>
      </c>
      <c r="O78" s="5" t="str">
        <f>IF(DAY(A78)&lt;=15,UPPER(LEFT(TEXT(A78,"mmmm"),1))&amp;RIGHT(TEXT(A78,"mmmm"),LEN(TEXT(A78,"mmmm"))-1),UPPER(LEFT(TEXT(DATE(YEAR(A78),MONTH(A78)+1,1),"mmmm"),1))&amp;RIGHT(TEXT(DATE(YEAR(A78),MONTH(A78)+1,1),"mmmm"),LEN(TEXT(DATE(YEAR(A78),MONTH(A78)+1,1),"mmmm"))-1))</f>
        <v>Janvier</v>
      </c>
      <c r="P78" s="6" t="str">
        <f ca="1">IF(AND(A78&lt;=TODAY(),F78&lt;&gt;""),"OK","NON")</f>
        <v>NON</v>
      </c>
    </row>
    <row r="79" spans="1:16">
      <c r="A79" s="4"/>
      <c r="B79" s="5"/>
      <c r="C79" s="5"/>
      <c r="D79" s="6"/>
      <c r="E79" s="6"/>
      <c r="F79" s="7"/>
      <c r="G79" s="8" cm="1">
        <f t="array" ref="G79">IFERROR(
  IF(D79&lt;&gt;"Cédric",
     0,
     SUMPRODUCT(
       (TRIM(SUBSTITUTE(UPPER($B$2:$B79),CHAR(160),""))=TRIM(SUBSTITUTE(UPPER(B79),CHAR(160),"")))*
       (TRIM(SUBSTITUTE(UPPER($C$2:$C79),CHAR(160),""))=TRIM(SUBSTITUTE(UPPER(C79),CHAR(160),"")))*
       (TRIM(SUBSTITUTE(UPPER($D$2:$D79),CHAR(160),""))=TRIM(SUBSTITUTE(UPPER(D79),CHAR(160),"")))*
       (TRIM(SUBSTITUTE(UPPER($E$2:$E79),CHAR(160),""))=TRIM(SUBSTITUTE(UPPER(E79),CHAR(160),"")))
     )
  ),
  0
)</f>
        <v>0</v>
      </c>
      <c r="H79" s="8" cm="1">
        <f t="array" ref="H79">IFERROR(
  IF(D79&lt;&gt;"Geoffroy",
     0,
     SUMPRODUCT(
       (TRIM(SUBSTITUTE(UPPER($B$2:$B79),CHAR(160),""))=TRIM(SUBSTITUTE(UPPER(B79),CHAR(160),"")))*
       (TRIM(SUBSTITUTE(UPPER($C$2:$C79),CHAR(160),""))=TRIM(SUBSTITUTE(UPPER(C79),CHAR(160),"")))*
       (TRIM(SUBSTITUTE(UPPER($D$2:$D79),CHAR(160),""))=TRIM(SUBSTITUTE(UPPER(D79),CHAR(160),"")))*
       (TRIM(SUBSTITUTE(UPPER($E$2:$E79),CHAR(160),""))=TRIM(SUBSTITUTE(UPPER(E79),CHAR(160),"")))
     )
  ),
  0
)</f>
        <v>0</v>
      </c>
      <c r="I79" s="8" cm="1">
        <f t="array" ref="I79">IFERROR(
  IF(D79&lt;&gt;"Tiphaine",
     0,
     SUMPRODUCT(
       (TRIM(SUBSTITUTE(UPPER($B$2:$B79),CHAR(160),""))=TRIM(SUBSTITUTE(UPPER(B79),CHAR(160),"")))*
       (TRIM(SUBSTITUTE(UPPER($C$2:$C79),CHAR(160),""))=TRIM(SUBSTITUTE(UPPER(C79),CHAR(160),"")))*
       (TRIM(SUBSTITUTE(UPPER($D$2:$D79),CHAR(160),""))=TRIM(SUBSTITUTE(UPPER(D79),CHAR(160),"")))*
       (TRIM(SUBSTITUTE(UPPER($E$2:$E79),CHAR(160),""))=TRIM(SUBSTITUTE(UPPER(E79),CHAR(160),"")))
     )
  ),
  0
)</f>
        <v>0</v>
      </c>
      <c r="J79" s="8" cm="1">
        <f t="array" ref="J79">IFERROR(
  IF(D79&lt;&gt;"Catherine",
     0,
     SUMPRODUCT(
       (TRIM(SUBSTITUTE(UPPER($B$2:$B79),CHAR(160),""))=TRIM(SUBSTITUTE(UPPER(B79),CHAR(160),"")))*
       (TRIM(SUBSTITUTE(UPPER($C$2:$C79),CHAR(160),""))=TRIM(SUBSTITUTE(UPPER(C79),CHAR(160),"")))*
       (TRIM(SUBSTITUTE(UPPER($D$2:$D79),CHAR(160),""))=TRIM(SUBSTITUTE(UPPER(D79),CHAR(160),"")))*
       (TRIM(SUBSTITUTE(UPPER($E$2:$E79),CHAR(160),""))=TRIM(SUBSTITUTE(UPPER(E79),CHAR(160),"")))
     )
  ),
  0
)</f>
        <v>0</v>
      </c>
      <c r="K79" s="9">
        <f>IFERROR(
  IF(
    D79&lt;&gt;"Cédric",
    0,
    IF(
      C79="",
      IF(
        COUNTIFS($B$2:B79,B79,$E$2:E79,E79,$D$2:D79,D79)=1,
        INDEX([1]DB!$A:$A,MATCH($E79,[1]DB!$D:$D,0)),
        IF(
          COUNTIFS($B$2:B79,B79,$E$2:E79,E79,$D$2:D79,D79)=2,
          INDEX([1]DB!$B:$B,MATCH($E79,[1]DB!$D:$D,0)),
          INDEX([1]DB!$C:$C,MATCH($E79,[1]DB!$D:$D,0))
        )
      ),
      IF(
        COUNTIFS($C$2:C79,C79,$E$2:E79,E79,$D$2:D79,D79)=1,
        INDEX([1]DB!$A:$A,MATCH($E79,[1]DB!$D:$D,0)),
        IF(
          COUNTIFS($C$2:C79,C79,$E$2:E79,E79,$D$2:D79,D79)=2,
          INDEX([1]DB!$B:$B,MATCH($E79,[1]DB!$D:$D,0)),
          INDEX([1]DB!$C:$C,MATCH($E79,[1]DB!$D:$D,0))
        )
      )
    )
  ),
  0
)</f>
        <v>0</v>
      </c>
      <c r="L79" s="9">
        <f>IFERROR(
  IF(
    D79&lt;&gt;"Geoffroy",
    0,
    IF(
      C79="",
      IF(
        COUNTIFS($B$2:B79,B79,$E$2:E79,E79,$D$2:D79,D79)=1,
        INDEX([1]DB!$A:$A,MATCH($E79,[1]DB!$D:$D,0)),
        IF(
          COUNTIFS($B$2:B79,B79,$E$2:E79,E79,$D$2:D79,D79)=2,
          INDEX([1]DB!$B:$B,MATCH($E79,[1]DB!$D:$D,0)),
          INDEX([1]DB!$C:$C,MATCH($E79,[1]DB!$D:$D,0))
        )
      ),
      IF(
        COUNTIFS($C$2:C79,C79,$E$2:E79,E79,$D$2:D79,D79)=1,
        INDEX([1]DB!$A:$A,MATCH($E79,[1]DB!$D:$D,0)),
        IF(
          COUNTIFS($C$2:C79,C79,$E$2:E79,E79,$D$2:D79,D79)=2,
          INDEX([1]DB!$B:$B,MATCH($E79,[1]DB!$D:$D,0)),
          INDEX([1]DB!$C:$C,MATCH($E79,[1]DB!$D:$D,0))
        )
      )
    )
  ),
  0
)</f>
        <v>0</v>
      </c>
      <c r="M79" s="9">
        <f>IFERROR(
  IF(
    D79&lt;&gt;"Tiphaine",
    0,
    IF(
      C79="",
      IF(
        COUNTIFS($B$2:B79,B79,$E$2:E79,E79,$D$2:D79,D79)=1,
        INDEX([1]DB!$A:$A,MATCH($E79,[1]DB!$D:$D,0)),
        IF(
          COUNTIFS($B$2:B79,B79,$E$2:E79,E79,$D$2:D79,D79)=2,
          INDEX([1]DB!$B:$B,MATCH($E79,[1]DB!$D:$D,0)),
          INDEX([1]DB!$C:$C,MATCH($E79,[1]DB!$D:$D,0))
        )
      ),
      IF(
        COUNTIFS($C$2:C79,C79,$E$2:E79,E79,$D$2:D79,D79)=1,
        INDEX([1]DB!$A:$A,MATCH($E79,[1]DB!$D:$D,0)),
        IF(
          COUNTIFS($C$2:C79,C79,$E$2:E79,E79,$D$2:D79,D79)=2,
          INDEX([1]DB!$B:$B,MATCH($E79,[1]DB!$D:$D,0)),
          INDEX([1]DB!$C:$C,MATCH($E79,[1]DB!$D:$D,0))
        )
      )
    )
  ),
  0
)</f>
        <v>0</v>
      </c>
      <c r="N79" s="9">
        <f>IFERROR(
  IF(
    D79&lt;&gt;"Catherine",
    0,
    IF(
      C79="",
      IF(
        COUNTIFS($B$2:B79,B79,$E$2:E79,E79,$D$2:D79,D79)=1,
        INDEX([1]DB!$A:$A,MATCH($E79,[1]DB!$D:$D,0)),
        IF(
          COUNTIFS($B$2:B79,B79,$E$2:E79,E79,$D$2:D79,D79)=2,
          INDEX([1]DB!$B:$B,MATCH($E79,[1]DB!$D:$D,0)),
          INDEX([1]DB!$C:$C,MATCH($E79,[1]DB!$D:$D,0))
        )
      ),
      IF(
        COUNTIFS($C$2:C79,C79,$E$2:E79,E79,$D$2:D79,D79)=1,
        INDEX([1]DB!$A:$A,MATCH($E79,[1]DB!$D:$D,0)),
        IF(
          COUNTIFS($C$2:C79,C79,$E$2:E79,E79,$D$2:D79,D79)=2,
          INDEX([1]DB!$B:$B,MATCH($E79,[1]DB!$D:$D,0)),
          INDEX([1]DB!$C:$C,MATCH($E79,[1]DB!$D:$D,0))
        )
      )
    )
  ),
  0
)</f>
        <v>0</v>
      </c>
      <c r="O79" s="5" t="str">
        <f>IF(DAY(A79)&lt;=15,UPPER(LEFT(TEXT(A79,"mmmm"),1))&amp;RIGHT(TEXT(A79,"mmmm"),LEN(TEXT(A79,"mmmm"))-1),UPPER(LEFT(TEXT(DATE(YEAR(A79),MONTH(A79)+1,1),"mmmm"),1))&amp;RIGHT(TEXT(DATE(YEAR(A79),MONTH(A79)+1,1),"mmmm"),LEN(TEXT(DATE(YEAR(A79),MONTH(A79)+1,1),"mmmm"))-1))</f>
        <v>Janvier</v>
      </c>
      <c r="P79" s="6" t="str">
        <f ca="1">IF(AND(A79&lt;=TODAY(),F79&lt;&gt;""),"OK","NON")</f>
        <v>NON</v>
      </c>
    </row>
    <row r="80" spans="1:16">
      <c r="A80" s="4"/>
      <c r="B80" s="5"/>
      <c r="C80" s="5"/>
      <c r="D80" s="6"/>
      <c r="E80" s="6"/>
      <c r="F80" s="7"/>
      <c r="G80" s="8" cm="1">
        <f t="array" ref="G80">IFERROR(
  IF(D80&lt;&gt;"Cédric",
     0,
     SUMPRODUCT(
       (TRIM(SUBSTITUTE(UPPER($B$2:$B80),CHAR(160),""))=TRIM(SUBSTITUTE(UPPER(B80),CHAR(160),"")))*
       (TRIM(SUBSTITUTE(UPPER($C$2:$C80),CHAR(160),""))=TRIM(SUBSTITUTE(UPPER(C80),CHAR(160),"")))*
       (TRIM(SUBSTITUTE(UPPER($D$2:$D80),CHAR(160),""))=TRIM(SUBSTITUTE(UPPER(D80),CHAR(160),"")))*
       (TRIM(SUBSTITUTE(UPPER($E$2:$E80),CHAR(160),""))=TRIM(SUBSTITUTE(UPPER(E80),CHAR(160),"")))
     )
  ),
  0
)</f>
        <v>0</v>
      </c>
      <c r="H80" s="8" cm="1">
        <f t="array" ref="H80">IFERROR(
  IF(D80&lt;&gt;"Geoffroy",
     0,
     SUMPRODUCT(
       (TRIM(SUBSTITUTE(UPPER($B$2:$B80),CHAR(160),""))=TRIM(SUBSTITUTE(UPPER(B80),CHAR(160),"")))*
       (TRIM(SUBSTITUTE(UPPER($C$2:$C80),CHAR(160),""))=TRIM(SUBSTITUTE(UPPER(C80),CHAR(160),"")))*
       (TRIM(SUBSTITUTE(UPPER($D$2:$D80),CHAR(160),""))=TRIM(SUBSTITUTE(UPPER(D80),CHAR(160),"")))*
       (TRIM(SUBSTITUTE(UPPER($E$2:$E80),CHAR(160),""))=TRIM(SUBSTITUTE(UPPER(E80),CHAR(160),"")))
     )
  ),
  0
)</f>
        <v>0</v>
      </c>
      <c r="I80" s="8" cm="1">
        <f t="array" ref="I80">IFERROR(
  IF(D80&lt;&gt;"Tiphaine",
     0,
     SUMPRODUCT(
       (TRIM(SUBSTITUTE(UPPER($B$2:$B80),CHAR(160),""))=TRIM(SUBSTITUTE(UPPER(B80),CHAR(160),"")))*
       (TRIM(SUBSTITUTE(UPPER($C$2:$C80),CHAR(160),""))=TRIM(SUBSTITUTE(UPPER(C80),CHAR(160),"")))*
       (TRIM(SUBSTITUTE(UPPER($D$2:$D80),CHAR(160),""))=TRIM(SUBSTITUTE(UPPER(D80),CHAR(160),"")))*
       (TRIM(SUBSTITUTE(UPPER($E$2:$E80),CHAR(160),""))=TRIM(SUBSTITUTE(UPPER(E80),CHAR(160),"")))
     )
  ),
  0
)</f>
        <v>0</v>
      </c>
      <c r="J80" s="8" cm="1">
        <f t="array" ref="J80">IFERROR(
  IF(D80&lt;&gt;"Catherine",
     0,
     SUMPRODUCT(
       (TRIM(SUBSTITUTE(UPPER($B$2:$B80),CHAR(160),""))=TRIM(SUBSTITUTE(UPPER(B80),CHAR(160),"")))*
       (TRIM(SUBSTITUTE(UPPER($C$2:$C80),CHAR(160),""))=TRIM(SUBSTITUTE(UPPER(C80),CHAR(160),"")))*
       (TRIM(SUBSTITUTE(UPPER($D$2:$D80),CHAR(160),""))=TRIM(SUBSTITUTE(UPPER(D80),CHAR(160),"")))*
       (TRIM(SUBSTITUTE(UPPER($E$2:$E80),CHAR(160),""))=TRIM(SUBSTITUTE(UPPER(E80),CHAR(160),"")))
     )
  ),
  0
)</f>
        <v>0</v>
      </c>
      <c r="K80" s="9">
        <f>IFERROR(
  IF(
    D80&lt;&gt;"Cédric",
    0,
    IF(
      C80="",
      IF(
        COUNTIFS($B$2:B80,B80,$E$2:E80,E80,$D$2:D80,D80)=1,
        INDEX([1]DB!$A:$A,MATCH($E80,[1]DB!$D:$D,0)),
        IF(
          COUNTIFS($B$2:B80,B80,$E$2:E80,E80,$D$2:D80,D80)=2,
          INDEX([1]DB!$B:$B,MATCH($E80,[1]DB!$D:$D,0)),
          INDEX([1]DB!$C:$C,MATCH($E80,[1]DB!$D:$D,0))
        )
      ),
      IF(
        COUNTIFS($C$2:C80,C80,$E$2:E80,E80,$D$2:D80,D80)=1,
        INDEX([1]DB!$A:$A,MATCH($E80,[1]DB!$D:$D,0)),
        IF(
          COUNTIFS($C$2:C80,C80,$E$2:E80,E80,$D$2:D80,D80)=2,
          INDEX([1]DB!$B:$B,MATCH($E80,[1]DB!$D:$D,0)),
          INDEX([1]DB!$C:$C,MATCH($E80,[1]DB!$D:$D,0))
        )
      )
    )
  ),
  0
)</f>
        <v>0</v>
      </c>
      <c r="L80" s="9">
        <f>IFERROR(
  IF(
    D80&lt;&gt;"Geoffroy",
    0,
    IF(
      C80="",
      IF(
        COUNTIFS($B$2:B80,B80,$E$2:E80,E80,$D$2:D80,D80)=1,
        INDEX([1]DB!$A:$A,MATCH($E80,[1]DB!$D:$D,0)),
        IF(
          COUNTIFS($B$2:B80,B80,$E$2:E80,E80,$D$2:D80,D80)=2,
          INDEX([1]DB!$B:$B,MATCH($E80,[1]DB!$D:$D,0)),
          INDEX([1]DB!$C:$C,MATCH($E80,[1]DB!$D:$D,0))
        )
      ),
      IF(
        COUNTIFS($C$2:C80,C80,$E$2:E80,E80,$D$2:D80,D80)=1,
        INDEX([1]DB!$A:$A,MATCH($E80,[1]DB!$D:$D,0)),
        IF(
          COUNTIFS($C$2:C80,C80,$E$2:E80,E80,$D$2:D80,D80)=2,
          INDEX([1]DB!$B:$B,MATCH($E80,[1]DB!$D:$D,0)),
          INDEX([1]DB!$C:$C,MATCH($E80,[1]DB!$D:$D,0))
        )
      )
    )
  ),
  0
)</f>
        <v>0</v>
      </c>
      <c r="M80" s="9">
        <f>IFERROR(
  IF(
    D80&lt;&gt;"Tiphaine",
    0,
    IF(
      C80="",
      IF(
        COUNTIFS($B$2:B80,B80,$E$2:E80,E80,$D$2:D80,D80)=1,
        INDEX([1]DB!$A:$A,MATCH($E80,[1]DB!$D:$D,0)),
        IF(
          COUNTIFS($B$2:B80,B80,$E$2:E80,E80,$D$2:D80,D80)=2,
          INDEX([1]DB!$B:$B,MATCH($E80,[1]DB!$D:$D,0)),
          INDEX([1]DB!$C:$C,MATCH($E80,[1]DB!$D:$D,0))
        )
      ),
      IF(
        COUNTIFS($C$2:C80,C80,$E$2:E80,E80,$D$2:D80,D80)=1,
        INDEX([1]DB!$A:$A,MATCH($E80,[1]DB!$D:$D,0)),
        IF(
          COUNTIFS($C$2:C80,C80,$E$2:E80,E80,$D$2:D80,D80)=2,
          INDEX([1]DB!$B:$B,MATCH($E80,[1]DB!$D:$D,0)),
          INDEX([1]DB!$C:$C,MATCH($E80,[1]DB!$D:$D,0))
        )
      )
    )
  ),
  0
)</f>
        <v>0</v>
      </c>
      <c r="N80" s="9">
        <f>IFERROR(
  IF(
    D80&lt;&gt;"Catherine",
    0,
    IF(
      C80="",
      IF(
        COUNTIFS($B$2:B80,B80,$E$2:E80,E80,$D$2:D80,D80)=1,
        INDEX([1]DB!$A:$A,MATCH($E80,[1]DB!$D:$D,0)),
        IF(
          COUNTIFS($B$2:B80,B80,$E$2:E80,E80,$D$2:D80,D80)=2,
          INDEX([1]DB!$B:$B,MATCH($E80,[1]DB!$D:$D,0)),
          INDEX([1]DB!$C:$C,MATCH($E80,[1]DB!$D:$D,0))
        )
      ),
      IF(
        COUNTIFS($C$2:C80,C80,$E$2:E80,E80,$D$2:D80,D80)=1,
        INDEX([1]DB!$A:$A,MATCH($E80,[1]DB!$D:$D,0)),
        IF(
          COUNTIFS($C$2:C80,C80,$E$2:E80,E80,$D$2:D80,D80)=2,
          INDEX([1]DB!$B:$B,MATCH($E80,[1]DB!$D:$D,0)),
          INDEX([1]DB!$C:$C,MATCH($E80,[1]DB!$D:$D,0))
        )
      )
    )
  ),
  0
)</f>
        <v>0</v>
      </c>
      <c r="O80" s="5" t="str">
        <f>IF(DAY(A80)&lt;=15,UPPER(LEFT(TEXT(A80,"mmmm"),1))&amp;RIGHT(TEXT(A80,"mmmm"),LEN(TEXT(A80,"mmmm"))-1),UPPER(LEFT(TEXT(DATE(YEAR(A80),MONTH(A80)+1,1),"mmmm"),1))&amp;RIGHT(TEXT(DATE(YEAR(A80),MONTH(A80)+1,1),"mmmm"),LEN(TEXT(DATE(YEAR(A80),MONTH(A80)+1,1),"mmmm"))-1))</f>
        <v>Janvier</v>
      </c>
      <c r="P80" s="6" t="str">
        <f ca="1">IF(AND(A80&lt;=TODAY(),F80&lt;&gt;""),"OK","NON")</f>
        <v>NON</v>
      </c>
    </row>
    <row r="81" spans="1:16">
      <c r="A81" s="4"/>
      <c r="B81" s="5"/>
      <c r="C81" s="5"/>
      <c r="D81" s="6"/>
      <c r="E81" s="6"/>
      <c r="F81" s="7"/>
      <c r="G81" s="8" cm="1">
        <f t="array" ref="G81">IFERROR(
  IF(D81&lt;&gt;"Cédric",
     0,
     SUMPRODUCT(
       (TRIM(SUBSTITUTE(UPPER($B$2:$B81),CHAR(160),""))=TRIM(SUBSTITUTE(UPPER(B81),CHAR(160),"")))*
       (TRIM(SUBSTITUTE(UPPER($C$2:$C81),CHAR(160),""))=TRIM(SUBSTITUTE(UPPER(C81),CHAR(160),"")))*
       (TRIM(SUBSTITUTE(UPPER($D$2:$D81),CHAR(160),""))=TRIM(SUBSTITUTE(UPPER(D81),CHAR(160),"")))*
       (TRIM(SUBSTITUTE(UPPER($E$2:$E81),CHAR(160),""))=TRIM(SUBSTITUTE(UPPER(E81),CHAR(160),"")))
     )
  ),
  0
)</f>
        <v>0</v>
      </c>
      <c r="H81" s="8" cm="1">
        <f t="array" ref="H81">IFERROR(
  IF(D81&lt;&gt;"Geoffroy",
     0,
     SUMPRODUCT(
       (TRIM(SUBSTITUTE(UPPER($B$2:$B81),CHAR(160),""))=TRIM(SUBSTITUTE(UPPER(B81),CHAR(160),"")))*
       (TRIM(SUBSTITUTE(UPPER($C$2:$C81),CHAR(160),""))=TRIM(SUBSTITUTE(UPPER(C81),CHAR(160),"")))*
       (TRIM(SUBSTITUTE(UPPER($D$2:$D81),CHAR(160),""))=TRIM(SUBSTITUTE(UPPER(D81),CHAR(160),"")))*
       (TRIM(SUBSTITUTE(UPPER($E$2:$E81),CHAR(160),""))=TRIM(SUBSTITUTE(UPPER(E81),CHAR(160),"")))
     )
  ),
  0
)</f>
        <v>0</v>
      </c>
      <c r="I81" s="8" cm="1">
        <f t="array" ref="I81">IFERROR(
  IF(D81&lt;&gt;"Tiphaine",
     0,
     SUMPRODUCT(
       (TRIM(SUBSTITUTE(UPPER($B$2:$B81),CHAR(160),""))=TRIM(SUBSTITUTE(UPPER(B81),CHAR(160),"")))*
       (TRIM(SUBSTITUTE(UPPER($C$2:$C81),CHAR(160),""))=TRIM(SUBSTITUTE(UPPER(C81),CHAR(160),"")))*
       (TRIM(SUBSTITUTE(UPPER($D$2:$D81),CHAR(160),""))=TRIM(SUBSTITUTE(UPPER(D81),CHAR(160),"")))*
       (TRIM(SUBSTITUTE(UPPER($E$2:$E81),CHAR(160),""))=TRIM(SUBSTITUTE(UPPER(E81),CHAR(160),"")))
     )
  ),
  0
)</f>
        <v>0</v>
      </c>
      <c r="J81" s="8" cm="1">
        <f t="array" ref="J81">IFERROR(
  IF(D81&lt;&gt;"Catherine",
     0,
     SUMPRODUCT(
       (TRIM(SUBSTITUTE(UPPER($B$2:$B81),CHAR(160),""))=TRIM(SUBSTITUTE(UPPER(B81),CHAR(160),"")))*
       (TRIM(SUBSTITUTE(UPPER($C$2:$C81),CHAR(160),""))=TRIM(SUBSTITUTE(UPPER(C81),CHAR(160),"")))*
       (TRIM(SUBSTITUTE(UPPER($D$2:$D81),CHAR(160),""))=TRIM(SUBSTITUTE(UPPER(D81),CHAR(160),"")))*
       (TRIM(SUBSTITUTE(UPPER($E$2:$E81),CHAR(160),""))=TRIM(SUBSTITUTE(UPPER(E81),CHAR(160),"")))
     )
  ),
  0
)</f>
        <v>0</v>
      </c>
      <c r="K81" s="9">
        <f>IFERROR(
  IF(
    D81&lt;&gt;"Cédric",
    0,
    IF(
      C81="",
      IF(
        COUNTIFS($B$2:B81,B81,$E$2:E81,E81,$D$2:D81,D81)=1,
        INDEX([1]DB!$A:$A,MATCH($E81,[1]DB!$D:$D,0)),
        IF(
          COUNTIFS($B$2:B81,B81,$E$2:E81,E81,$D$2:D81,D81)=2,
          INDEX([1]DB!$B:$B,MATCH($E81,[1]DB!$D:$D,0)),
          INDEX([1]DB!$C:$C,MATCH($E81,[1]DB!$D:$D,0))
        )
      ),
      IF(
        COUNTIFS($C$2:C81,C81,$E$2:E81,E81,$D$2:D81,D81)=1,
        INDEX([1]DB!$A:$A,MATCH($E81,[1]DB!$D:$D,0)),
        IF(
          COUNTIFS($C$2:C81,C81,$E$2:E81,E81,$D$2:D81,D81)=2,
          INDEX([1]DB!$B:$B,MATCH($E81,[1]DB!$D:$D,0)),
          INDEX([1]DB!$C:$C,MATCH($E81,[1]DB!$D:$D,0))
        )
      )
    )
  ),
  0
)</f>
        <v>0</v>
      </c>
      <c r="L81" s="9">
        <f>IFERROR(
  IF(
    D81&lt;&gt;"Geoffroy",
    0,
    IF(
      C81="",
      IF(
        COUNTIFS($B$2:B81,B81,$E$2:E81,E81,$D$2:D81,D81)=1,
        INDEX([1]DB!$A:$A,MATCH($E81,[1]DB!$D:$D,0)),
        IF(
          COUNTIFS($B$2:B81,B81,$E$2:E81,E81,$D$2:D81,D81)=2,
          INDEX([1]DB!$B:$B,MATCH($E81,[1]DB!$D:$D,0)),
          INDEX([1]DB!$C:$C,MATCH($E81,[1]DB!$D:$D,0))
        )
      ),
      IF(
        COUNTIFS($C$2:C81,C81,$E$2:E81,E81,$D$2:D81,D81)=1,
        INDEX([1]DB!$A:$A,MATCH($E81,[1]DB!$D:$D,0)),
        IF(
          COUNTIFS($C$2:C81,C81,$E$2:E81,E81,$D$2:D81,D81)=2,
          INDEX([1]DB!$B:$B,MATCH($E81,[1]DB!$D:$D,0)),
          INDEX([1]DB!$C:$C,MATCH($E81,[1]DB!$D:$D,0))
        )
      )
    )
  ),
  0
)</f>
        <v>0</v>
      </c>
      <c r="M81" s="9">
        <f>IFERROR(
  IF(
    D81&lt;&gt;"Tiphaine",
    0,
    IF(
      C81="",
      IF(
        COUNTIFS($B$2:B81,B81,$E$2:E81,E81,$D$2:D81,D81)=1,
        INDEX([1]DB!$A:$A,MATCH($E81,[1]DB!$D:$D,0)),
        IF(
          COUNTIFS($B$2:B81,B81,$E$2:E81,E81,$D$2:D81,D81)=2,
          INDEX([1]DB!$B:$B,MATCH($E81,[1]DB!$D:$D,0)),
          INDEX([1]DB!$C:$C,MATCH($E81,[1]DB!$D:$D,0))
        )
      ),
      IF(
        COUNTIFS($C$2:C81,C81,$E$2:E81,E81,$D$2:D81,D81)=1,
        INDEX([1]DB!$A:$A,MATCH($E81,[1]DB!$D:$D,0)),
        IF(
          COUNTIFS($C$2:C81,C81,$E$2:E81,E81,$D$2:D81,D81)=2,
          INDEX([1]DB!$B:$B,MATCH($E81,[1]DB!$D:$D,0)),
          INDEX([1]DB!$C:$C,MATCH($E81,[1]DB!$D:$D,0))
        )
      )
    )
  ),
  0
)</f>
        <v>0</v>
      </c>
      <c r="N81" s="9">
        <f>IFERROR(
  IF(
    D81&lt;&gt;"Catherine",
    0,
    IF(
      C81="",
      IF(
        COUNTIFS($B$2:B81,B81,$E$2:E81,E81,$D$2:D81,D81)=1,
        INDEX([1]DB!$A:$A,MATCH($E81,[1]DB!$D:$D,0)),
        IF(
          COUNTIFS($B$2:B81,B81,$E$2:E81,E81,$D$2:D81,D81)=2,
          INDEX([1]DB!$B:$B,MATCH($E81,[1]DB!$D:$D,0)),
          INDEX([1]DB!$C:$C,MATCH($E81,[1]DB!$D:$D,0))
        )
      ),
      IF(
        COUNTIFS($C$2:C81,C81,$E$2:E81,E81,$D$2:D81,D81)=1,
        INDEX([1]DB!$A:$A,MATCH($E81,[1]DB!$D:$D,0)),
        IF(
          COUNTIFS($C$2:C81,C81,$E$2:E81,E81,$D$2:D81,D81)=2,
          INDEX([1]DB!$B:$B,MATCH($E81,[1]DB!$D:$D,0)),
          INDEX([1]DB!$C:$C,MATCH($E81,[1]DB!$D:$D,0))
        )
      )
    )
  ),
  0
)</f>
        <v>0</v>
      </c>
      <c r="O81" s="5" t="str">
        <f>IF(DAY(A81)&lt;=15,UPPER(LEFT(TEXT(A81,"mmmm"),1))&amp;RIGHT(TEXT(A81,"mmmm"),LEN(TEXT(A81,"mmmm"))-1),UPPER(LEFT(TEXT(DATE(YEAR(A81),MONTH(A81)+1,1),"mmmm"),1))&amp;RIGHT(TEXT(DATE(YEAR(A81),MONTH(A81)+1,1),"mmmm"),LEN(TEXT(DATE(YEAR(A81),MONTH(A81)+1,1),"mmmm"))-1))</f>
        <v>Janvier</v>
      </c>
      <c r="P81" s="6" t="str">
        <f ca="1">IF(AND(A81&lt;=TODAY(),F81&lt;&gt;""),"OK","NON")</f>
        <v>NON</v>
      </c>
    </row>
    <row r="82" spans="1:16">
      <c r="A82" s="4"/>
      <c r="B82" s="5"/>
      <c r="C82" s="5"/>
      <c r="D82" s="6"/>
      <c r="E82" s="6"/>
      <c r="F82" s="7"/>
      <c r="G82" s="8" cm="1">
        <f t="array" ref="G82">IFERROR(
  IF(D82&lt;&gt;"Cédric",
     0,
     SUMPRODUCT(
       (TRIM(SUBSTITUTE(UPPER($B$2:$B82),CHAR(160),""))=TRIM(SUBSTITUTE(UPPER(B82),CHAR(160),"")))*
       (TRIM(SUBSTITUTE(UPPER($C$2:$C82),CHAR(160),""))=TRIM(SUBSTITUTE(UPPER(C82),CHAR(160),"")))*
       (TRIM(SUBSTITUTE(UPPER($D$2:$D82),CHAR(160),""))=TRIM(SUBSTITUTE(UPPER(D82),CHAR(160),"")))*
       (TRIM(SUBSTITUTE(UPPER($E$2:$E82),CHAR(160),""))=TRIM(SUBSTITUTE(UPPER(E82),CHAR(160),"")))
     )
  ),
  0
)</f>
        <v>0</v>
      </c>
      <c r="H82" s="8" cm="1">
        <f t="array" ref="H82">IFERROR(
  IF(D82&lt;&gt;"Geoffroy",
     0,
     SUMPRODUCT(
       (TRIM(SUBSTITUTE(UPPER($B$2:$B82),CHAR(160),""))=TRIM(SUBSTITUTE(UPPER(B82),CHAR(160),"")))*
       (TRIM(SUBSTITUTE(UPPER($C$2:$C82),CHAR(160),""))=TRIM(SUBSTITUTE(UPPER(C82),CHAR(160),"")))*
       (TRIM(SUBSTITUTE(UPPER($D$2:$D82),CHAR(160),""))=TRIM(SUBSTITUTE(UPPER(D82),CHAR(160),"")))*
       (TRIM(SUBSTITUTE(UPPER($E$2:$E82),CHAR(160),""))=TRIM(SUBSTITUTE(UPPER(E82),CHAR(160),"")))
     )
  ),
  0
)</f>
        <v>0</v>
      </c>
      <c r="I82" s="8" cm="1">
        <f t="array" ref="I82">IFERROR(
  IF(D82&lt;&gt;"Tiphaine",
     0,
     SUMPRODUCT(
       (TRIM(SUBSTITUTE(UPPER($B$2:$B82),CHAR(160),""))=TRIM(SUBSTITUTE(UPPER(B82),CHAR(160),"")))*
       (TRIM(SUBSTITUTE(UPPER($C$2:$C82),CHAR(160),""))=TRIM(SUBSTITUTE(UPPER(C82),CHAR(160),"")))*
       (TRIM(SUBSTITUTE(UPPER($D$2:$D82),CHAR(160),""))=TRIM(SUBSTITUTE(UPPER(D82),CHAR(160),"")))*
       (TRIM(SUBSTITUTE(UPPER($E$2:$E82),CHAR(160),""))=TRIM(SUBSTITUTE(UPPER(E82),CHAR(160),"")))
     )
  ),
  0
)</f>
        <v>0</v>
      </c>
      <c r="J82" s="8" cm="1">
        <f t="array" ref="J82">IFERROR(
  IF(D82&lt;&gt;"Catherine",
     0,
     SUMPRODUCT(
       (TRIM(SUBSTITUTE(UPPER($B$2:$B82),CHAR(160),""))=TRIM(SUBSTITUTE(UPPER(B82),CHAR(160),"")))*
       (TRIM(SUBSTITUTE(UPPER($C$2:$C82),CHAR(160),""))=TRIM(SUBSTITUTE(UPPER(C82),CHAR(160),"")))*
       (TRIM(SUBSTITUTE(UPPER($D$2:$D82),CHAR(160),""))=TRIM(SUBSTITUTE(UPPER(D82),CHAR(160),"")))*
       (TRIM(SUBSTITUTE(UPPER($E$2:$E82),CHAR(160),""))=TRIM(SUBSTITUTE(UPPER(E82),CHAR(160),"")))
     )
  ),
  0
)</f>
        <v>0</v>
      </c>
      <c r="K82" s="9">
        <f>IFERROR(
  IF(
    D82&lt;&gt;"Cédric",
    0,
    IF(
      C82="",
      IF(
        COUNTIFS($B$2:B82,B82,$E$2:E82,E82,$D$2:D82,D82)=1,
        INDEX([1]DB!$A:$A,MATCH($E82,[1]DB!$D:$D,0)),
        IF(
          COUNTIFS($B$2:B82,B82,$E$2:E82,E82,$D$2:D82,D82)=2,
          INDEX([1]DB!$B:$B,MATCH($E82,[1]DB!$D:$D,0)),
          INDEX([1]DB!$C:$C,MATCH($E82,[1]DB!$D:$D,0))
        )
      ),
      IF(
        COUNTIFS($C$2:C82,C82,$E$2:E82,E82,$D$2:D82,D82)=1,
        INDEX([1]DB!$A:$A,MATCH($E82,[1]DB!$D:$D,0)),
        IF(
          COUNTIFS($C$2:C82,C82,$E$2:E82,E82,$D$2:D82,D82)=2,
          INDEX([1]DB!$B:$B,MATCH($E82,[1]DB!$D:$D,0)),
          INDEX([1]DB!$C:$C,MATCH($E82,[1]DB!$D:$D,0))
        )
      )
    )
  ),
  0
)</f>
        <v>0</v>
      </c>
      <c r="L82" s="9">
        <f>IFERROR(
  IF(
    D82&lt;&gt;"Geoffroy",
    0,
    IF(
      C82="",
      IF(
        COUNTIFS($B$2:B82,B82,$E$2:E82,E82,$D$2:D82,D82)=1,
        INDEX([1]DB!$A:$A,MATCH($E82,[1]DB!$D:$D,0)),
        IF(
          COUNTIFS($B$2:B82,B82,$E$2:E82,E82,$D$2:D82,D82)=2,
          INDEX([1]DB!$B:$B,MATCH($E82,[1]DB!$D:$D,0)),
          INDEX([1]DB!$C:$C,MATCH($E82,[1]DB!$D:$D,0))
        )
      ),
      IF(
        COUNTIFS($C$2:C82,C82,$E$2:E82,E82,$D$2:D82,D82)=1,
        INDEX([1]DB!$A:$A,MATCH($E82,[1]DB!$D:$D,0)),
        IF(
          COUNTIFS($C$2:C82,C82,$E$2:E82,E82,$D$2:D82,D82)=2,
          INDEX([1]DB!$B:$B,MATCH($E82,[1]DB!$D:$D,0)),
          INDEX([1]DB!$C:$C,MATCH($E82,[1]DB!$D:$D,0))
        )
      )
    )
  ),
  0
)</f>
        <v>0</v>
      </c>
      <c r="M82" s="9">
        <f>IFERROR(
  IF(
    D82&lt;&gt;"Tiphaine",
    0,
    IF(
      C82="",
      IF(
        COUNTIFS($B$2:B82,B82,$E$2:E82,E82,$D$2:D82,D82)=1,
        INDEX([1]DB!$A:$A,MATCH($E82,[1]DB!$D:$D,0)),
        IF(
          COUNTIFS($B$2:B82,B82,$E$2:E82,E82,$D$2:D82,D82)=2,
          INDEX([1]DB!$B:$B,MATCH($E82,[1]DB!$D:$D,0)),
          INDEX([1]DB!$C:$C,MATCH($E82,[1]DB!$D:$D,0))
        )
      ),
      IF(
        COUNTIFS($C$2:C82,C82,$E$2:E82,E82,$D$2:D82,D82)=1,
        INDEX([1]DB!$A:$A,MATCH($E82,[1]DB!$D:$D,0)),
        IF(
          COUNTIFS($C$2:C82,C82,$E$2:E82,E82,$D$2:D82,D82)=2,
          INDEX([1]DB!$B:$B,MATCH($E82,[1]DB!$D:$D,0)),
          INDEX([1]DB!$C:$C,MATCH($E82,[1]DB!$D:$D,0))
        )
      )
    )
  ),
  0
)</f>
        <v>0</v>
      </c>
      <c r="N82" s="9">
        <f>IFERROR(
  IF(
    D82&lt;&gt;"Catherine",
    0,
    IF(
      C82="",
      IF(
        COUNTIFS($B$2:B82,B82,$E$2:E82,E82,$D$2:D82,D82)=1,
        INDEX([1]DB!$A:$A,MATCH($E82,[1]DB!$D:$D,0)),
        IF(
          COUNTIFS($B$2:B82,B82,$E$2:E82,E82,$D$2:D82,D82)=2,
          INDEX([1]DB!$B:$B,MATCH($E82,[1]DB!$D:$D,0)),
          INDEX([1]DB!$C:$C,MATCH($E82,[1]DB!$D:$D,0))
        )
      ),
      IF(
        COUNTIFS($C$2:C82,C82,$E$2:E82,E82,$D$2:D82,D82)=1,
        INDEX([1]DB!$A:$A,MATCH($E82,[1]DB!$D:$D,0)),
        IF(
          COUNTIFS($C$2:C82,C82,$E$2:E82,E82,$D$2:D82,D82)=2,
          INDEX([1]DB!$B:$B,MATCH($E82,[1]DB!$D:$D,0)),
          INDEX([1]DB!$C:$C,MATCH($E82,[1]DB!$D:$D,0))
        )
      )
    )
  ),
  0
)</f>
        <v>0</v>
      </c>
      <c r="O82" s="5" t="str">
        <f>IF(DAY(A82)&lt;=15,UPPER(LEFT(TEXT(A82,"mmmm"),1))&amp;RIGHT(TEXT(A82,"mmmm"),LEN(TEXT(A82,"mmmm"))-1),UPPER(LEFT(TEXT(DATE(YEAR(A82),MONTH(A82)+1,1),"mmmm"),1))&amp;RIGHT(TEXT(DATE(YEAR(A82),MONTH(A82)+1,1),"mmmm"),LEN(TEXT(DATE(YEAR(A82),MONTH(A82)+1,1),"mmmm"))-1))</f>
        <v>Janvier</v>
      </c>
      <c r="P82" s="6" t="str">
        <f ca="1">IF(AND(A82&lt;=TODAY(),F82&lt;&gt;""),"OK","NON")</f>
        <v>NON</v>
      </c>
    </row>
    <row r="83" spans="1:16">
      <c r="A83" s="4"/>
      <c r="B83" s="5"/>
      <c r="C83" s="5"/>
      <c r="D83" s="6"/>
      <c r="E83" s="6"/>
      <c r="F83" s="7"/>
      <c r="G83" s="8" cm="1">
        <f t="array" ref="G83">IFERROR(
  IF(D83&lt;&gt;"Cédric",
     0,
     SUMPRODUCT(
       (TRIM(SUBSTITUTE(UPPER($B$2:$B83),CHAR(160),""))=TRIM(SUBSTITUTE(UPPER(B83),CHAR(160),"")))*
       (TRIM(SUBSTITUTE(UPPER($C$2:$C83),CHAR(160),""))=TRIM(SUBSTITUTE(UPPER(C83),CHAR(160),"")))*
       (TRIM(SUBSTITUTE(UPPER($D$2:$D83),CHAR(160),""))=TRIM(SUBSTITUTE(UPPER(D83),CHAR(160),"")))*
       (TRIM(SUBSTITUTE(UPPER($E$2:$E83),CHAR(160),""))=TRIM(SUBSTITUTE(UPPER(E83),CHAR(160),"")))
     )
  ),
  0
)</f>
        <v>0</v>
      </c>
      <c r="H83" s="8" cm="1">
        <f t="array" ref="H83">IFERROR(
  IF(D83&lt;&gt;"Geoffroy",
     0,
     SUMPRODUCT(
       (TRIM(SUBSTITUTE(UPPER($B$2:$B83),CHAR(160),""))=TRIM(SUBSTITUTE(UPPER(B83),CHAR(160),"")))*
       (TRIM(SUBSTITUTE(UPPER($C$2:$C83),CHAR(160),""))=TRIM(SUBSTITUTE(UPPER(C83),CHAR(160),"")))*
       (TRIM(SUBSTITUTE(UPPER($D$2:$D83),CHAR(160),""))=TRIM(SUBSTITUTE(UPPER(D83),CHAR(160),"")))*
       (TRIM(SUBSTITUTE(UPPER($E$2:$E83),CHAR(160),""))=TRIM(SUBSTITUTE(UPPER(E83),CHAR(160),"")))
     )
  ),
  0
)</f>
        <v>0</v>
      </c>
      <c r="I83" s="8" cm="1">
        <f t="array" ref="I83">IFERROR(
  IF(D83&lt;&gt;"Tiphaine",
     0,
     SUMPRODUCT(
       (TRIM(SUBSTITUTE(UPPER($B$2:$B83),CHAR(160),""))=TRIM(SUBSTITUTE(UPPER(B83),CHAR(160),"")))*
       (TRIM(SUBSTITUTE(UPPER($C$2:$C83),CHAR(160),""))=TRIM(SUBSTITUTE(UPPER(C83),CHAR(160),"")))*
       (TRIM(SUBSTITUTE(UPPER($D$2:$D83),CHAR(160),""))=TRIM(SUBSTITUTE(UPPER(D83),CHAR(160),"")))*
       (TRIM(SUBSTITUTE(UPPER($E$2:$E83),CHAR(160),""))=TRIM(SUBSTITUTE(UPPER(E83),CHAR(160),"")))
     )
  ),
  0
)</f>
        <v>0</v>
      </c>
      <c r="J83" s="8" cm="1">
        <f t="array" ref="J83">IFERROR(
  IF(D83&lt;&gt;"Catherine",
     0,
     SUMPRODUCT(
       (TRIM(SUBSTITUTE(UPPER($B$2:$B83),CHAR(160),""))=TRIM(SUBSTITUTE(UPPER(B83),CHAR(160),"")))*
       (TRIM(SUBSTITUTE(UPPER($C$2:$C83),CHAR(160),""))=TRIM(SUBSTITUTE(UPPER(C83),CHAR(160),"")))*
       (TRIM(SUBSTITUTE(UPPER($D$2:$D83),CHAR(160),""))=TRIM(SUBSTITUTE(UPPER(D83),CHAR(160),"")))*
       (TRIM(SUBSTITUTE(UPPER($E$2:$E83),CHAR(160),""))=TRIM(SUBSTITUTE(UPPER(E83),CHAR(160),"")))
     )
  ),
  0
)</f>
        <v>0</v>
      </c>
      <c r="K83" s="9">
        <f>IFERROR(
  IF(
    D83&lt;&gt;"Cédric",
    0,
    IF(
      C83="",
      IF(
        COUNTIFS($B$2:B83,B83,$E$2:E83,E83,$D$2:D83,D83)=1,
        INDEX([1]DB!$A:$A,MATCH($E83,[1]DB!$D:$D,0)),
        IF(
          COUNTIFS($B$2:B83,B83,$E$2:E83,E83,$D$2:D83,D83)=2,
          INDEX([1]DB!$B:$B,MATCH($E83,[1]DB!$D:$D,0)),
          INDEX([1]DB!$C:$C,MATCH($E83,[1]DB!$D:$D,0))
        )
      ),
      IF(
        COUNTIFS($C$2:C83,C83,$E$2:E83,E83,$D$2:D83,D83)=1,
        INDEX([1]DB!$A:$A,MATCH($E83,[1]DB!$D:$D,0)),
        IF(
          COUNTIFS($C$2:C83,C83,$E$2:E83,E83,$D$2:D83,D83)=2,
          INDEX([1]DB!$B:$B,MATCH($E83,[1]DB!$D:$D,0)),
          INDEX([1]DB!$C:$C,MATCH($E83,[1]DB!$D:$D,0))
        )
      )
    )
  ),
  0
)</f>
        <v>0</v>
      </c>
      <c r="L83" s="9">
        <f>IFERROR(
  IF(
    D83&lt;&gt;"Geoffroy",
    0,
    IF(
      C83="",
      IF(
        COUNTIFS($B$2:B83,B83,$E$2:E83,E83,$D$2:D83,D83)=1,
        INDEX([1]DB!$A:$A,MATCH($E83,[1]DB!$D:$D,0)),
        IF(
          COUNTIFS($B$2:B83,B83,$E$2:E83,E83,$D$2:D83,D83)=2,
          INDEX([1]DB!$B:$B,MATCH($E83,[1]DB!$D:$D,0)),
          INDEX([1]DB!$C:$C,MATCH($E83,[1]DB!$D:$D,0))
        )
      ),
      IF(
        COUNTIFS($C$2:C83,C83,$E$2:E83,E83,$D$2:D83,D83)=1,
        INDEX([1]DB!$A:$A,MATCH($E83,[1]DB!$D:$D,0)),
        IF(
          COUNTIFS($C$2:C83,C83,$E$2:E83,E83,$D$2:D83,D83)=2,
          INDEX([1]DB!$B:$B,MATCH($E83,[1]DB!$D:$D,0)),
          INDEX([1]DB!$C:$C,MATCH($E83,[1]DB!$D:$D,0))
        )
      )
    )
  ),
  0
)</f>
        <v>0</v>
      </c>
      <c r="M83" s="9">
        <f>IFERROR(
  IF(
    D83&lt;&gt;"Tiphaine",
    0,
    IF(
      C83="",
      IF(
        COUNTIFS($B$2:B83,B83,$E$2:E83,E83,$D$2:D83,D83)=1,
        INDEX([1]DB!$A:$A,MATCH($E83,[1]DB!$D:$D,0)),
        IF(
          COUNTIFS($B$2:B83,B83,$E$2:E83,E83,$D$2:D83,D83)=2,
          INDEX([1]DB!$B:$B,MATCH($E83,[1]DB!$D:$D,0)),
          INDEX([1]DB!$C:$C,MATCH($E83,[1]DB!$D:$D,0))
        )
      ),
      IF(
        COUNTIFS($C$2:C83,C83,$E$2:E83,E83,$D$2:D83,D83)=1,
        INDEX([1]DB!$A:$A,MATCH($E83,[1]DB!$D:$D,0)),
        IF(
          COUNTIFS($C$2:C83,C83,$E$2:E83,E83,$D$2:D83,D83)=2,
          INDEX([1]DB!$B:$B,MATCH($E83,[1]DB!$D:$D,0)),
          INDEX([1]DB!$C:$C,MATCH($E83,[1]DB!$D:$D,0))
        )
      )
    )
  ),
  0
)</f>
        <v>0</v>
      </c>
      <c r="N83" s="9">
        <f>IFERROR(
  IF(
    D83&lt;&gt;"Catherine",
    0,
    IF(
      C83="",
      IF(
        COUNTIFS($B$2:B83,B83,$E$2:E83,E83,$D$2:D83,D83)=1,
        INDEX([1]DB!$A:$A,MATCH($E83,[1]DB!$D:$D,0)),
        IF(
          COUNTIFS($B$2:B83,B83,$E$2:E83,E83,$D$2:D83,D83)=2,
          INDEX([1]DB!$B:$B,MATCH($E83,[1]DB!$D:$D,0)),
          INDEX([1]DB!$C:$C,MATCH($E83,[1]DB!$D:$D,0))
        )
      ),
      IF(
        COUNTIFS($C$2:C83,C83,$E$2:E83,E83,$D$2:D83,D83)=1,
        INDEX([1]DB!$A:$A,MATCH($E83,[1]DB!$D:$D,0)),
        IF(
          COUNTIFS($C$2:C83,C83,$E$2:E83,E83,$D$2:D83,D83)=2,
          INDEX([1]DB!$B:$B,MATCH($E83,[1]DB!$D:$D,0)),
          INDEX([1]DB!$C:$C,MATCH($E83,[1]DB!$D:$D,0))
        )
      )
    )
  ),
  0
)</f>
        <v>0</v>
      </c>
      <c r="O83" s="5" t="str">
        <f>IF(DAY(A83)&lt;=15,UPPER(LEFT(TEXT(A83,"mmmm"),1))&amp;RIGHT(TEXT(A83,"mmmm"),LEN(TEXT(A83,"mmmm"))-1),UPPER(LEFT(TEXT(DATE(YEAR(A83),MONTH(A83)+1,1),"mmmm"),1))&amp;RIGHT(TEXT(DATE(YEAR(A83),MONTH(A83)+1,1),"mmmm"),LEN(TEXT(DATE(YEAR(A83),MONTH(A83)+1,1),"mmmm"))-1))</f>
        <v>Janvier</v>
      </c>
      <c r="P83" s="6" t="str">
        <f ca="1">IF(AND(A83&lt;=TODAY(),F83&lt;&gt;""),"OK","NON")</f>
        <v>NON</v>
      </c>
    </row>
    <row r="84" spans="1:16">
      <c r="A84" s="4"/>
      <c r="B84" s="5"/>
      <c r="C84" s="5"/>
      <c r="D84" s="6"/>
      <c r="E84" s="6"/>
      <c r="F84" s="7"/>
      <c r="G84" s="8" cm="1">
        <f t="array" ref="G84">IFERROR(
  IF(D84&lt;&gt;"Cédric",
     0,
     SUMPRODUCT(
       (TRIM(SUBSTITUTE(UPPER($B$2:$B84),CHAR(160),""))=TRIM(SUBSTITUTE(UPPER(B84),CHAR(160),"")))*
       (TRIM(SUBSTITUTE(UPPER($C$2:$C84),CHAR(160),""))=TRIM(SUBSTITUTE(UPPER(C84),CHAR(160),"")))*
       (TRIM(SUBSTITUTE(UPPER($D$2:$D84),CHAR(160),""))=TRIM(SUBSTITUTE(UPPER(D84),CHAR(160),"")))*
       (TRIM(SUBSTITUTE(UPPER($E$2:$E84),CHAR(160),""))=TRIM(SUBSTITUTE(UPPER(E84),CHAR(160),"")))
     )
  ),
  0
)</f>
        <v>0</v>
      </c>
      <c r="H84" s="8" cm="1">
        <f t="array" ref="H84">IFERROR(
  IF(D84&lt;&gt;"Geoffroy",
     0,
     SUMPRODUCT(
       (TRIM(SUBSTITUTE(UPPER($B$2:$B84),CHAR(160),""))=TRIM(SUBSTITUTE(UPPER(B84),CHAR(160),"")))*
       (TRIM(SUBSTITUTE(UPPER($C$2:$C84),CHAR(160),""))=TRIM(SUBSTITUTE(UPPER(C84),CHAR(160),"")))*
       (TRIM(SUBSTITUTE(UPPER($D$2:$D84),CHAR(160),""))=TRIM(SUBSTITUTE(UPPER(D84),CHAR(160),"")))*
       (TRIM(SUBSTITUTE(UPPER($E$2:$E84),CHAR(160),""))=TRIM(SUBSTITUTE(UPPER(E84),CHAR(160),"")))
     )
  ),
  0
)</f>
        <v>0</v>
      </c>
      <c r="I84" s="8" cm="1">
        <f t="array" ref="I84">IFERROR(
  IF(D84&lt;&gt;"Tiphaine",
     0,
     SUMPRODUCT(
       (TRIM(SUBSTITUTE(UPPER($B$2:$B84),CHAR(160),""))=TRIM(SUBSTITUTE(UPPER(B84),CHAR(160),"")))*
       (TRIM(SUBSTITUTE(UPPER($C$2:$C84),CHAR(160),""))=TRIM(SUBSTITUTE(UPPER(C84),CHAR(160),"")))*
       (TRIM(SUBSTITUTE(UPPER($D$2:$D84),CHAR(160),""))=TRIM(SUBSTITUTE(UPPER(D84),CHAR(160),"")))*
       (TRIM(SUBSTITUTE(UPPER($E$2:$E84),CHAR(160),""))=TRIM(SUBSTITUTE(UPPER(E84),CHAR(160),"")))
     )
  ),
  0
)</f>
        <v>0</v>
      </c>
      <c r="J84" s="8" cm="1">
        <f t="array" ref="J84">IFERROR(
  IF(D84&lt;&gt;"Catherine",
     0,
     SUMPRODUCT(
       (TRIM(SUBSTITUTE(UPPER($B$2:$B84),CHAR(160),""))=TRIM(SUBSTITUTE(UPPER(B84),CHAR(160),"")))*
       (TRIM(SUBSTITUTE(UPPER($C$2:$C84),CHAR(160),""))=TRIM(SUBSTITUTE(UPPER(C84),CHAR(160),"")))*
       (TRIM(SUBSTITUTE(UPPER($D$2:$D84),CHAR(160),""))=TRIM(SUBSTITUTE(UPPER(D84),CHAR(160),"")))*
       (TRIM(SUBSTITUTE(UPPER($E$2:$E84),CHAR(160),""))=TRIM(SUBSTITUTE(UPPER(E84),CHAR(160),"")))
     )
  ),
  0
)</f>
        <v>0</v>
      </c>
      <c r="K84" s="9">
        <f>IFERROR(
  IF(
    D84&lt;&gt;"Cédric",
    0,
    IF(
      C84="",
      IF(
        COUNTIFS($B$2:B84,B84,$E$2:E84,E84,$D$2:D84,D84)=1,
        INDEX([1]DB!$A:$A,MATCH($E84,[1]DB!$D:$D,0)),
        IF(
          COUNTIFS($B$2:B84,B84,$E$2:E84,E84,$D$2:D84,D84)=2,
          INDEX([1]DB!$B:$B,MATCH($E84,[1]DB!$D:$D,0)),
          INDEX([1]DB!$C:$C,MATCH($E84,[1]DB!$D:$D,0))
        )
      ),
      IF(
        COUNTIFS($C$2:C84,C84,$E$2:E84,E84,$D$2:D84,D84)=1,
        INDEX([1]DB!$A:$A,MATCH($E84,[1]DB!$D:$D,0)),
        IF(
          COUNTIFS($C$2:C84,C84,$E$2:E84,E84,$D$2:D84,D84)=2,
          INDEX([1]DB!$B:$B,MATCH($E84,[1]DB!$D:$D,0)),
          INDEX([1]DB!$C:$C,MATCH($E84,[1]DB!$D:$D,0))
        )
      )
    )
  ),
  0
)</f>
        <v>0</v>
      </c>
      <c r="L84" s="9">
        <f>IFERROR(
  IF(
    D84&lt;&gt;"Geoffroy",
    0,
    IF(
      C84="",
      IF(
        COUNTIFS($B$2:B84,B84,$E$2:E84,E84,$D$2:D84,D84)=1,
        INDEX([1]DB!$A:$A,MATCH($E84,[1]DB!$D:$D,0)),
        IF(
          COUNTIFS($B$2:B84,B84,$E$2:E84,E84,$D$2:D84,D84)=2,
          INDEX([1]DB!$B:$B,MATCH($E84,[1]DB!$D:$D,0)),
          INDEX([1]DB!$C:$C,MATCH($E84,[1]DB!$D:$D,0))
        )
      ),
      IF(
        COUNTIFS($C$2:C84,C84,$E$2:E84,E84,$D$2:D84,D84)=1,
        INDEX([1]DB!$A:$A,MATCH($E84,[1]DB!$D:$D,0)),
        IF(
          COUNTIFS($C$2:C84,C84,$E$2:E84,E84,$D$2:D84,D84)=2,
          INDEX([1]DB!$B:$B,MATCH($E84,[1]DB!$D:$D,0)),
          INDEX([1]DB!$C:$C,MATCH($E84,[1]DB!$D:$D,0))
        )
      )
    )
  ),
  0
)</f>
        <v>0</v>
      </c>
      <c r="M84" s="9">
        <f>IFERROR(
  IF(
    D84&lt;&gt;"Tiphaine",
    0,
    IF(
      C84="",
      IF(
        COUNTIFS($B$2:B84,B84,$E$2:E84,E84,$D$2:D84,D84)=1,
        INDEX([1]DB!$A:$A,MATCH($E84,[1]DB!$D:$D,0)),
        IF(
          COUNTIFS($B$2:B84,B84,$E$2:E84,E84,$D$2:D84,D84)=2,
          INDEX([1]DB!$B:$B,MATCH($E84,[1]DB!$D:$D,0)),
          INDEX([1]DB!$C:$C,MATCH($E84,[1]DB!$D:$D,0))
        )
      ),
      IF(
        COUNTIFS($C$2:C84,C84,$E$2:E84,E84,$D$2:D84,D84)=1,
        INDEX([1]DB!$A:$A,MATCH($E84,[1]DB!$D:$D,0)),
        IF(
          COUNTIFS($C$2:C84,C84,$E$2:E84,E84,$D$2:D84,D84)=2,
          INDEX([1]DB!$B:$B,MATCH($E84,[1]DB!$D:$D,0)),
          INDEX([1]DB!$C:$C,MATCH($E84,[1]DB!$D:$D,0))
        )
      )
    )
  ),
  0
)</f>
        <v>0</v>
      </c>
      <c r="N84" s="9">
        <f>IFERROR(
  IF(
    D84&lt;&gt;"Catherine",
    0,
    IF(
      C84="",
      IF(
        COUNTIFS($B$2:B84,B84,$E$2:E84,E84,$D$2:D84,D84)=1,
        INDEX([1]DB!$A:$A,MATCH($E84,[1]DB!$D:$D,0)),
        IF(
          COUNTIFS($B$2:B84,B84,$E$2:E84,E84,$D$2:D84,D84)=2,
          INDEX([1]DB!$B:$B,MATCH($E84,[1]DB!$D:$D,0)),
          INDEX([1]DB!$C:$C,MATCH($E84,[1]DB!$D:$D,0))
        )
      ),
      IF(
        COUNTIFS($C$2:C84,C84,$E$2:E84,E84,$D$2:D84,D84)=1,
        INDEX([1]DB!$A:$A,MATCH($E84,[1]DB!$D:$D,0)),
        IF(
          COUNTIFS($C$2:C84,C84,$E$2:E84,E84,$D$2:D84,D84)=2,
          INDEX([1]DB!$B:$B,MATCH($E84,[1]DB!$D:$D,0)),
          INDEX([1]DB!$C:$C,MATCH($E84,[1]DB!$D:$D,0))
        )
      )
    )
  ),
  0
)</f>
        <v>0</v>
      </c>
      <c r="O84" s="5" t="str">
        <f>IF(DAY(A84)&lt;=15,UPPER(LEFT(TEXT(A84,"mmmm"),1))&amp;RIGHT(TEXT(A84,"mmmm"),LEN(TEXT(A84,"mmmm"))-1),UPPER(LEFT(TEXT(DATE(YEAR(A84),MONTH(A84)+1,1),"mmmm"),1))&amp;RIGHT(TEXT(DATE(YEAR(A84),MONTH(A84)+1,1),"mmmm"),LEN(TEXT(DATE(YEAR(A84),MONTH(A84)+1,1),"mmmm"))-1))</f>
        <v>Janvier</v>
      </c>
      <c r="P84" s="6" t="str">
        <f ca="1">IF(AND(A84&lt;=TODAY(),F84&lt;&gt;""),"OK","NON")</f>
        <v>NON</v>
      </c>
    </row>
    <row r="85" spans="1:16">
      <c r="A85" s="4"/>
      <c r="B85" s="5"/>
      <c r="C85" s="5"/>
      <c r="D85" s="6"/>
      <c r="E85" s="6"/>
      <c r="F85" s="7"/>
      <c r="G85" s="8" cm="1">
        <f t="array" ref="G85">IFERROR(
  IF(D85&lt;&gt;"Cédric",
     0,
     SUMPRODUCT(
       (TRIM(SUBSTITUTE(UPPER($B$2:$B85),CHAR(160),""))=TRIM(SUBSTITUTE(UPPER(B85),CHAR(160),"")))*
       (TRIM(SUBSTITUTE(UPPER($C$2:$C85),CHAR(160),""))=TRIM(SUBSTITUTE(UPPER(C85),CHAR(160),"")))*
       (TRIM(SUBSTITUTE(UPPER($D$2:$D85),CHAR(160),""))=TRIM(SUBSTITUTE(UPPER(D85),CHAR(160),"")))*
       (TRIM(SUBSTITUTE(UPPER($E$2:$E85),CHAR(160),""))=TRIM(SUBSTITUTE(UPPER(E85),CHAR(160),"")))
     )
  ),
  0
)</f>
        <v>0</v>
      </c>
      <c r="H85" s="8" cm="1">
        <f t="array" ref="H85">IFERROR(
  IF(D85&lt;&gt;"Geoffroy",
     0,
     SUMPRODUCT(
       (TRIM(SUBSTITUTE(UPPER($B$2:$B85),CHAR(160),""))=TRIM(SUBSTITUTE(UPPER(B85),CHAR(160),"")))*
       (TRIM(SUBSTITUTE(UPPER($C$2:$C85),CHAR(160),""))=TRIM(SUBSTITUTE(UPPER(C85),CHAR(160),"")))*
       (TRIM(SUBSTITUTE(UPPER($D$2:$D85),CHAR(160),""))=TRIM(SUBSTITUTE(UPPER(D85),CHAR(160),"")))*
       (TRIM(SUBSTITUTE(UPPER($E$2:$E85),CHAR(160),""))=TRIM(SUBSTITUTE(UPPER(E85),CHAR(160),"")))
     )
  ),
  0
)</f>
        <v>0</v>
      </c>
      <c r="I85" s="8" cm="1">
        <f t="array" ref="I85">IFERROR(
  IF(D85&lt;&gt;"Tiphaine",
     0,
     SUMPRODUCT(
       (TRIM(SUBSTITUTE(UPPER($B$2:$B85),CHAR(160),""))=TRIM(SUBSTITUTE(UPPER(B85),CHAR(160),"")))*
       (TRIM(SUBSTITUTE(UPPER($C$2:$C85),CHAR(160),""))=TRIM(SUBSTITUTE(UPPER(C85),CHAR(160),"")))*
       (TRIM(SUBSTITUTE(UPPER($D$2:$D85),CHAR(160),""))=TRIM(SUBSTITUTE(UPPER(D85),CHAR(160),"")))*
       (TRIM(SUBSTITUTE(UPPER($E$2:$E85),CHAR(160),""))=TRIM(SUBSTITUTE(UPPER(E85),CHAR(160),"")))
     )
  ),
  0
)</f>
        <v>0</v>
      </c>
      <c r="J85" s="8" cm="1">
        <f t="array" ref="J85">IFERROR(
  IF(D85&lt;&gt;"Catherine",
     0,
     SUMPRODUCT(
       (TRIM(SUBSTITUTE(UPPER($B$2:$B85),CHAR(160),""))=TRIM(SUBSTITUTE(UPPER(B85),CHAR(160),"")))*
       (TRIM(SUBSTITUTE(UPPER($C$2:$C85),CHAR(160),""))=TRIM(SUBSTITUTE(UPPER(C85),CHAR(160),"")))*
       (TRIM(SUBSTITUTE(UPPER($D$2:$D85),CHAR(160),""))=TRIM(SUBSTITUTE(UPPER(D85),CHAR(160),"")))*
       (TRIM(SUBSTITUTE(UPPER($E$2:$E85),CHAR(160),""))=TRIM(SUBSTITUTE(UPPER(E85),CHAR(160),"")))
     )
  ),
  0
)</f>
        <v>0</v>
      </c>
      <c r="K85" s="9">
        <f>IFERROR(
  IF(
    D85&lt;&gt;"Cédric",
    0,
    IF(
      C85="",
      IF(
        COUNTIFS($B$2:B85,B85,$E$2:E85,E85,$D$2:D85,D85)=1,
        INDEX([1]DB!$A:$A,MATCH($E85,[1]DB!$D:$D,0)),
        IF(
          COUNTIFS($B$2:B85,B85,$E$2:E85,E85,$D$2:D85,D85)=2,
          INDEX([1]DB!$B:$B,MATCH($E85,[1]DB!$D:$D,0)),
          INDEX([1]DB!$C:$C,MATCH($E85,[1]DB!$D:$D,0))
        )
      ),
      IF(
        COUNTIFS($C$2:C85,C85,$E$2:E85,E85,$D$2:D85,D85)=1,
        INDEX([1]DB!$A:$A,MATCH($E85,[1]DB!$D:$D,0)),
        IF(
          COUNTIFS($C$2:C85,C85,$E$2:E85,E85,$D$2:D85,D85)=2,
          INDEX([1]DB!$B:$B,MATCH($E85,[1]DB!$D:$D,0)),
          INDEX([1]DB!$C:$C,MATCH($E85,[1]DB!$D:$D,0))
        )
      )
    )
  ),
  0
)</f>
        <v>0</v>
      </c>
      <c r="L85" s="9">
        <f>IFERROR(
  IF(
    D85&lt;&gt;"Geoffroy",
    0,
    IF(
      C85="",
      IF(
        COUNTIFS($B$2:B85,B85,$E$2:E85,E85,$D$2:D85,D85)=1,
        INDEX([1]DB!$A:$A,MATCH($E85,[1]DB!$D:$D,0)),
        IF(
          COUNTIFS($B$2:B85,B85,$E$2:E85,E85,$D$2:D85,D85)=2,
          INDEX([1]DB!$B:$B,MATCH($E85,[1]DB!$D:$D,0)),
          INDEX([1]DB!$C:$C,MATCH($E85,[1]DB!$D:$D,0))
        )
      ),
      IF(
        COUNTIFS($C$2:C85,C85,$E$2:E85,E85,$D$2:D85,D85)=1,
        INDEX([1]DB!$A:$A,MATCH($E85,[1]DB!$D:$D,0)),
        IF(
          COUNTIFS($C$2:C85,C85,$E$2:E85,E85,$D$2:D85,D85)=2,
          INDEX([1]DB!$B:$B,MATCH($E85,[1]DB!$D:$D,0)),
          INDEX([1]DB!$C:$C,MATCH($E85,[1]DB!$D:$D,0))
        )
      )
    )
  ),
  0
)</f>
        <v>0</v>
      </c>
      <c r="M85" s="9">
        <f>IFERROR(
  IF(
    D85&lt;&gt;"Tiphaine",
    0,
    IF(
      C85="",
      IF(
        COUNTIFS($B$2:B85,B85,$E$2:E85,E85,$D$2:D85,D85)=1,
        INDEX([1]DB!$A:$A,MATCH($E85,[1]DB!$D:$D,0)),
        IF(
          COUNTIFS($B$2:B85,B85,$E$2:E85,E85,$D$2:D85,D85)=2,
          INDEX([1]DB!$B:$B,MATCH($E85,[1]DB!$D:$D,0)),
          INDEX([1]DB!$C:$C,MATCH($E85,[1]DB!$D:$D,0))
        )
      ),
      IF(
        COUNTIFS($C$2:C85,C85,$E$2:E85,E85,$D$2:D85,D85)=1,
        INDEX([1]DB!$A:$A,MATCH($E85,[1]DB!$D:$D,0)),
        IF(
          COUNTIFS($C$2:C85,C85,$E$2:E85,E85,$D$2:D85,D85)=2,
          INDEX([1]DB!$B:$B,MATCH($E85,[1]DB!$D:$D,0)),
          INDEX([1]DB!$C:$C,MATCH($E85,[1]DB!$D:$D,0))
        )
      )
    )
  ),
  0
)</f>
        <v>0</v>
      </c>
      <c r="N85" s="9">
        <f>IFERROR(
  IF(
    D85&lt;&gt;"Catherine",
    0,
    IF(
      C85="",
      IF(
        COUNTIFS($B$2:B85,B85,$E$2:E85,E85,$D$2:D85,D85)=1,
        INDEX([1]DB!$A:$A,MATCH($E85,[1]DB!$D:$D,0)),
        IF(
          COUNTIFS($B$2:B85,B85,$E$2:E85,E85,$D$2:D85,D85)=2,
          INDEX([1]DB!$B:$B,MATCH($E85,[1]DB!$D:$D,0)),
          INDEX([1]DB!$C:$C,MATCH($E85,[1]DB!$D:$D,0))
        )
      ),
      IF(
        COUNTIFS($C$2:C85,C85,$E$2:E85,E85,$D$2:D85,D85)=1,
        INDEX([1]DB!$A:$A,MATCH($E85,[1]DB!$D:$D,0)),
        IF(
          COUNTIFS($C$2:C85,C85,$E$2:E85,E85,$D$2:D85,D85)=2,
          INDEX([1]DB!$B:$B,MATCH($E85,[1]DB!$D:$D,0)),
          INDEX([1]DB!$C:$C,MATCH($E85,[1]DB!$D:$D,0))
        )
      )
    )
  ),
  0
)</f>
        <v>0</v>
      </c>
      <c r="O85" s="5" t="str">
        <f>IF(DAY(A85)&lt;=15,UPPER(LEFT(TEXT(A85,"mmmm"),1))&amp;RIGHT(TEXT(A85,"mmmm"),LEN(TEXT(A85,"mmmm"))-1),UPPER(LEFT(TEXT(DATE(YEAR(A85),MONTH(A85)+1,1),"mmmm"),1))&amp;RIGHT(TEXT(DATE(YEAR(A85),MONTH(A85)+1,1),"mmmm"),LEN(TEXT(DATE(YEAR(A85),MONTH(A85)+1,1),"mmmm"))-1))</f>
        <v>Janvier</v>
      </c>
      <c r="P85" s="6" t="str">
        <f ca="1">IF(AND(A85&lt;=TODAY(),F85&lt;&gt;""),"OK","NON")</f>
        <v>NON</v>
      </c>
    </row>
    <row r="86" spans="1:16">
      <c r="A86" s="4"/>
      <c r="B86" s="5"/>
      <c r="C86" s="5"/>
      <c r="D86" s="6"/>
      <c r="E86" s="6"/>
      <c r="F86" s="7"/>
      <c r="G86" s="8" cm="1">
        <f t="array" ref="G86">IFERROR(
  IF(D86&lt;&gt;"Cédric",
     0,
     SUMPRODUCT(
       (TRIM(SUBSTITUTE(UPPER($B$2:$B86),CHAR(160),""))=TRIM(SUBSTITUTE(UPPER(B86),CHAR(160),"")))*
       (TRIM(SUBSTITUTE(UPPER($C$2:$C86),CHAR(160),""))=TRIM(SUBSTITUTE(UPPER(C86),CHAR(160),"")))*
       (TRIM(SUBSTITUTE(UPPER($D$2:$D86),CHAR(160),""))=TRIM(SUBSTITUTE(UPPER(D86),CHAR(160),"")))*
       (TRIM(SUBSTITUTE(UPPER($E$2:$E86),CHAR(160),""))=TRIM(SUBSTITUTE(UPPER(E86),CHAR(160),"")))
     )
  ),
  0
)</f>
        <v>0</v>
      </c>
      <c r="H86" s="8" cm="1">
        <f t="array" ref="H86">IFERROR(
  IF(D86&lt;&gt;"Geoffroy",
     0,
     SUMPRODUCT(
       (TRIM(SUBSTITUTE(UPPER($B$2:$B86),CHAR(160),""))=TRIM(SUBSTITUTE(UPPER(B86),CHAR(160),"")))*
       (TRIM(SUBSTITUTE(UPPER($C$2:$C86),CHAR(160),""))=TRIM(SUBSTITUTE(UPPER(C86),CHAR(160),"")))*
       (TRIM(SUBSTITUTE(UPPER($D$2:$D86),CHAR(160),""))=TRIM(SUBSTITUTE(UPPER(D86),CHAR(160),"")))*
       (TRIM(SUBSTITUTE(UPPER($E$2:$E86),CHAR(160),""))=TRIM(SUBSTITUTE(UPPER(E86),CHAR(160),"")))
     )
  ),
  0
)</f>
        <v>0</v>
      </c>
      <c r="I86" s="8" cm="1">
        <f t="array" ref="I86">IFERROR(
  IF(D86&lt;&gt;"Tiphaine",
     0,
     SUMPRODUCT(
       (TRIM(SUBSTITUTE(UPPER($B$2:$B86),CHAR(160),""))=TRIM(SUBSTITUTE(UPPER(B86),CHAR(160),"")))*
       (TRIM(SUBSTITUTE(UPPER($C$2:$C86),CHAR(160),""))=TRIM(SUBSTITUTE(UPPER(C86),CHAR(160),"")))*
       (TRIM(SUBSTITUTE(UPPER($D$2:$D86),CHAR(160),""))=TRIM(SUBSTITUTE(UPPER(D86),CHAR(160),"")))*
       (TRIM(SUBSTITUTE(UPPER($E$2:$E86),CHAR(160),""))=TRIM(SUBSTITUTE(UPPER(E86),CHAR(160),"")))
     )
  ),
  0
)</f>
        <v>0</v>
      </c>
      <c r="J86" s="8" cm="1">
        <f t="array" ref="J86">IFERROR(
  IF(D86&lt;&gt;"Catherine",
     0,
     SUMPRODUCT(
       (TRIM(SUBSTITUTE(UPPER($B$2:$B86),CHAR(160),""))=TRIM(SUBSTITUTE(UPPER(B86),CHAR(160),"")))*
       (TRIM(SUBSTITUTE(UPPER($C$2:$C86),CHAR(160),""))=TRIM(SUBSTITUTE(UPPER(C86),CHAR(160),"")))*
       (TRIM(SUBSTITUTE(UPPER($D$2:$D86),CHAR(160),""))=TRIM(SUBSTITUTE(UPPER(D86),CHAR(160),"")))*
       (TRIM(SUBSTITUTE(UPPER($E$2:$E86),CHAR(160),""))=TRIM(SUBSTITUTE(UPPER(E86),CHAR(160),"")))
     )
  ),
  0
)</f>
        <v>0</v>
      </c>
      <c r="K86" s="9">
        <f>IFERROR(
  IF(
    D86&lt;&gt;"Cédric",
    0,
    IF(
      C86="",
      IF(
        COUNTIFS($B$2:B86,B86,$E$2:E86,E86,$D$2:D86,D86)=1,
        INDEX([1]DB!$A:$A,MATCH($E86,[1]DB!$D:$D,0)),
        IF(
          COUNTIFS($B$2:B86,B86,$E$2:E86,E86,$D$2:D86,D86)=2,
          INDEX([1]DB!$B:$B,MATCH($E86,[1]DB!$D:$D,0)),
          INDEX([1]DB!$C:$C,MATCH($E86,[1]DB!$D:$D,0))
        )
      ),
      IF(
        COUNTIFS($C$2:C86,C86,$E$2:E86,E86,$D$2:D86,D86)=1,
        INDEX([1]DB!$A:$A,MATCH($E86,[1]DB!$D:$D,0)),
        IF(
          COUNTIFS($C$2:C86,C86,$E$2:E86,E86,$D$2:D86,D86)=2,
          INDEX([1]DB!$B:$B,MATCH($E86,[1]DB!$D:$D,0)),
          INDEX([1]DB!$C:$C,MATCH($E86,[1]DB!$D:$D,0))
        )
      )
    )
  ),
  0
)</f>
        <v>0</v>
      </c>
      <c r="L86" s="9">
        <f>IFERROR(
  IF(
    D86&lt;&gt;"Geoffroy",
    0,
    IF(
      C86="",
      IF(
        COUNTIFS($B$2:B86,B86,$E$2:E86,E86,$D$2:D86,D86)=1,
        INDEX([1]DB!$A:$A,MATCH($E86,[1]DB!$D:$D,0)),
        IF(
          COUNTIFS($B$2:B86,B86,$E$2:E86,E86,$D$2:D86,D86)=2,
          INDEX([1]DB!$B:$B,MATCH($E86,[1]DB!$D:$D,0)),
          INDEX([1]DB!$C:$C,MATCH($E86,[1]DB!$D:$D,0))
        )
      ),
      IF(
        COUNTIFS($C$2:C86,C86,$E$2:E86,E86,$D$2:D86,D86)=1,
        INDEX([1]DB!$A:$A,MATCH($E86,[1]DB!$D:$D,0)),
        IF(
          COUNTIFS($C$2:C86,C86,$E$2:E86,E86,$D$2:D86,D86)=2,
          INDEX([1]DB!$B:$B,MATCH($E86,[1]DB!$D:$D,0)),
          INDEX([1]DB!$C:$C,MATCH($E86,[1]DB!$D:$D,0))
        )
      )
    )
  ),
  0
)</f>
        <v>0</v>
      </c>
      <c r="M86" s="9">
        <f>IFERROR(
  IF(
    D86&lt;&gt;"Tiphaine",
    0,
    IF(
      C86="",
      IF(
        COUNTIFS($B$2:B86,B86,$E$2:E86,E86,$D$2:D86,D86)=1,
        INDEX([1]DB!$A:$A,MATCH($E86,[1]DB!$D:$D,0)),
        IF(
          COUNTIFS($B$2:B86,B86,$E$2:E86,E86,$D$2:D86,D86)=2,
          INDEX([1]DB!$B:$B,MATCH($E86,[1]DB!$D:$D,0)),
          INDEX([1]DB!$C:$C,MATCH($E86,[1]DB!$D:$D,0))
        )
      ),
      IF(
        COUNTIFS($C$2:C86,C86,$E$2:E86,E86,$D$2:D86,D86)=1,
        INDEX([1]DB!$A:$A,MATCH($E86,[1]DB!$D:$D,0)),
        IF(
          COUNTIFS($C$2:C86,C86,$E$2:E86,E86,$D$2:D86,D86)=2,
          INDEX([1]DB!$B:$B,MATCH($E86,[1]DB!$D:$D,0)),
          INDEX([1]DB!$C:$C,MATCH($E86,[1]DB!$D:$D,0))
        )
      )
    )
  ),
  0
)</f>
        <v>0</v>
      </c>
      <c r="N86" s="9">
        <f>IFERROR(
  IF(
    D86&lt;&gt;"Catherine",
    0,
    IF(
      C86="",
      IF(
        COUNTIFS($B$2:B86,B86,$E$2:E86,E86,$D$2:D86,D86)=1,
        INDEX([1]DB!$A:$A,MATCH($E86,[1]DB!$D:$D,0)),
        IF(
          COUNTIFS($B$2:B86,B86,$E$2:E86,E86,$D$2:D86,D86)=2,
          INDEX([1]DB!$B:$B,MATCH($E86,[1]DB!$D:$D,0)),
          INDEX([1]DB!$C:$C,MATCH($E86,[1]DB!$D:$D,0))
        )
      ),
      IF(
        COUNTIFS($C$2:C86,C86,$E$2:E86,E86,$D$2:D86,D86)=1,
        INDEX([1]DB!$A:$A,MATCH($E86,[1]DB!$D:$D,0)),
        IF(
          COUNTIFS($C$2:C86,C86,$E$2:E86,E86,$D$2:D86,D86)=2,
          INDEX([1]DB!$B:$B,MATCH($E86,[1]DB!$D:$D,0)),
          INDEX([1]DB!$C:$C,MATCH($E86,[1]DB!$D:$D,0))
        )
      )
    )
  ),
  0
)</f>
        <v>0</v>
      </c>
      <c r="O86" s="5" t="str">
        <f>IF(DAY(A86)&lt;=15,UPPER(LEFT(TEXT(A86,"mmmm"),1))&amp;RIGHT(TEXT(A86,"mmmm"),LEN(TEXT(A86,"mmmm"))-1),UPPER(LEFT(TEXT(DATE(YEAR(A86),MONTH(A86)+1,1),"mmmm"),1))&amp;RIGHT(TEXT(DATE(YEAR(A86),MONTH(A86)+1,1),"mmmm"),LEN(TEXT(DATE(YEAR(A86),MONTH(A86)+1,1),"mmmm"))-1))</f>
        <v>Janvier</v>
      </c>
      <c r="P86" s="6" t="str">
        <f ca="1">IF(AND(A86&lt;=TODAY(),F86&lt;&gt;""),"OK","NON")</f>
        <v>NON</v>
      </c>
    </row>
    <row r="87" spans="1:16">
      <c r="A87" s="4"/>
      <c r="B87" s="5"/>
      <c r="C87" s="5"/>
      <c r="D87" s="6"/>
      <c r="E87" s="6"/>
      <c r="F87" s="7"/>
      <c r="G87" s="8" cm="1">
        <f t="array" ref="G87">IFERROR(
  IF(D87&lt;&gt;"Cédric",
     0,
     SUMPRODUCT(
       (TRIM(SUBSTITUTE(UPPER($B$2:$B87),CHAR(160),""))=TRIM(SUBSTITUTE(UPPER(B87),CHAR(160),"")))*
       (TRIM(SUBSTITUTE(UPPER($C$2:$C87),CHAR(160),""))=TRIM(SUBSTITUTE(UPPER(C87),CHAR(160),"")))*
       (TRIM(SUBSTITUTE(UPPER($D$2:$D87),CHAR(160),""))=TRIM(SUBSTITUTE(UPPER(D87),CHAR(160),"")))*
       (TRIM(SUBSTITUTE(UPPER($E$2:$E87),CHAR(160),""))=TRIM(SUBSTITUTE(UPPER(E87),CHAR(160),"")))
     )
  ),
  0
)</f>
        <v>0</v>
      </c>
      <c r="H87" s="8" cm="1">
        <f t="array" ref="H87">IFERROR(
  IF(D87&lt;&gt;"Geoffroy",
     0,
     SUMPRODUCT(
       (TRIM(SUBSTITUTE(UPPER($B$2:$B87),CHAR(160),""))=TRIM(SUBSTITUTE(UPPER(B87),CHAR(160),"")))*
       (TRIM(SUBSTITUTE(UPPER($C$2:$C87),CHAR(160),""))=TRIM(SUBSTITUTE(UPPER(C87),CHAR(160),"")))*
       (TRIM(SUBSTITUTE(UPPER($D$2:$D87),CHAR(160),""))=TRIM(SUBSTITUTE(UPPER(D87),CHAR(160),"")))*
       (TRIM(SUBSTITUTE(UPPER($E$2:$E87),CHAR(160),""))=TRIM(SUBSTITUTE(UPPER(E87),CHAR(160),"")))
     )
  ),
  0
)</f>
        <v>0</v>
      </c>
      <c r="I87" s="8" cm="1">
        <f t="array" ref="I87">IFERROR(
  IF(D87&lt;&gt;"Tiphaine",
     0,
     SUMPRODUCT(
       (TRIM(SUBSTITUTE(UPPER($B$2:$B87),CHAR(160),""))=TRIM(SUBSTITUTE(UPPER(B87),CHAR(160),"")))*
       (TRIM(SUBSTITUTE(UPPER($C$2:$C87),CHAR(160),""))=TRIM(SUBSTITUTE(UPPER(C87),CHAR(160),"")))*
       (TRIM(SUBSTITUTE(UPPER($D$2:$D87),CHAR(160),""))=TRIM(SUBSTITUTE(UPPER(D87),CHAR(160),"")))*
       (TRIM(SUBSTITUTE(UPPER($E$2:$E87),CHAR(160),""))=TRIM(SUBSTITUTE(UPPER(E87),CHAR(160),"")))
     )
  ),
  0
)</f>
        <v>0</v>
      </c>
      <c r="J87" s="8" cm="1">
        <f t="array" ref="J87">IFERROR(
  IF(D87&lt;&gt;"Catherine",
     0,
     SUMPRODUCT(
       (TRIM(SUBSTITUTE(UPPER($B$2:$B87),CHAR(160),""))=TRIM(SUBSTITUTE(UPPER(B87),CHAR(160),"")))*
       (TRIM(SUBSTITUTE(UPPER($C$2:$C87),CHAR(160),""))=TRIM(SUBSTITUTE(UPPER(C87),CHAR(160),"")))*
       (TRIM(SUBSTITUTE(UPPER($D$2:$D87),CHAR(160),""))=TRIM(SUBSTITUTE(UPPER(D87),CHAR(160),"")))*
       (TRIM(SUBSTITUTE(UPPER($E$2:$E87),CHAR(160),""))=TRIM(SUBSTITUTE(UPPER(E87),CHAR(160),"")))
     )
  ),
  0
)</f>
        <v>0</v>
      </c>
      <c r="K87" s="9">
        <f>IFERROR(
  IF(
    D87&lt;&gt;"Cédric",
    0,
    IF(
      C87="",
      IF(
        COUNTIFS($B$2:B87,B87,$E$2:E87,E87,$D$2:D87,D87)=1,
        INDEX([1]DB!$A:$A,MATCH($E87,[1]DB!$D:$D,0)),
        IF(
          COUNTIFS($B$2:B87,B87,$E$2:E87,E87,$D$2:D87,D87)=2,
          INDEX([1]DB!$B:$B,MATCH($E87,[1]DB!$D:$D,0)),
          INDEX([1]DB!$C:$C,MATCH($E87,[1]DB!$D:$D,0))
        )
      ),
      IF(
        COUNTIFS($C$2:C87,C87,$E$2:E87,E87,$D$2:D87,D87)=1,
        INDEX([1]DB!$A:$A,MATCH($E87,[1]DB!$D:$D,0)),
        IF(
          COUNTIFS($C$2:C87,C87,$E$2:E87,E87,$D$2:D87,D87)=2,
          INDEX([1]DB!$B:$B,MATCH($E87,[1]DB!$D:$D,0)),
          INDEX([1]DB!$C:$C,MATCH($E87,[1]DB!$D:$D,0))
        )
      )
    )
  ),
  0
)</f>
        <v>0</v>
      </c>
      <c r="L87" s="9">
        <f>IFERROR(
  IF(
    D87&lt;&gt;"Geoffroy",
    0,
    IF(
      C87="",
      IF(
        COUNTIFS($B$2:B87,B87,$E$2:E87,E87,$D$2:D87,D87)=1,
        INDEX([1]DB!$A:$A,MATCH($E87,[1]DB!$D:$D,0)),
        IF(
          COUNTIFS($B$2:B87,B87,$E$2:E87,E87,$D$2:D87,D87)=2,
          INDEX([1]DB!$B:$B,MATCH($E87,[1]DB!$D:$D,0)),
          INDEX([1]DB!$C:$C,MATCH($E87,[1]DB!$D:$D,0))
        )
      ),
      IF(
        COUNTIFS($C$2:C87,C87,$E$2:E87,E87,$D$2:D87,D87)=1,
        INDEX([1]DB!$A:$A,MATCH($E87,[1]DB!$D:$D,0)),
        IF(
          COUNTIFS($C$2:C87,C87,$E$2:E87,E87,$D$2:D87,D87)=2,
          INDEX([1]DB!$B:$B,MATCH($E87,[1]DB!$D:$D,0)),
          INDEX([1]DB!$C:$C,MATCH($E87,[1]DB!$D:$D,0))
        )
      )
    )
  ),
  0
)</f>
        <v>0</v>
      </c>
      <c r="M87" s="9">
        <f>IFERROR(
  IF(
    D87&lt;&gt;"Tiphaine",
    0,
    IF(
      C87="",
      IF(
        COUNTIFS($B$2:B87,B87,$E$2:E87,E87,$D$2:D87,D87)=1,
        INDEX([1]DB!$A:$A,MATCH($E87,[1]DB!$D:$D,0)),
        IF(
          COUNTIFS($B$2:B87,B87,$E$2:E87,E87,$D$2:D87,D87)=2,
          INDEX([1]DB!$B:$B,MATCH($E87,[1]DB!$D:$D,0)),
          INDEX([1]DB!$C:$C,MATCH($E87,[1]DB!$D:$D,0))
        )
      ),
      IF(
        COUNTIFS($C$2:C87,C87,$E$2:E87,E87,$D$2:D87,D87)=1,
        INDEX([1]DB!$A:$A,MATCH($E87,[1]DB!$D:$D,0)),
        IF(
          COUNTIFS($C$2:C87,C87,$E$2:E87,E87,$D$2:D87,D87)=2,
          INDEX([1]DB!$B:$B,MATCH($E87,[1]DB!$D:$D,0)),
          INDEX([1]DB!$C:$C,MATCH($E87,[1]DB!$D:$D,0))
        )
      )
    )
  ),
  0
)</f>
        <v>0</v>
      </c>
      <c r="N87" s="9">
        <f>IFERROR(
  IF(
    D87&lt;&gt;"Catherine",
    0,
    IF(
      C87="",
      IF(
        COUNTIFS($B$2:B87,B87,$E$2:E87,E87,$D$2:D87,D87)=1,
        INDEX([1]DB!$A:$A,MATCH($E87,[1]DB!$D:$D,0)),
        IF(
          COUNTIFS($B$2:B87,B87,$E$2:E87,E87,$D$2:D87,D87)=2,
          INDEX([1]DB!$B:$B,MATCH($E87,[1]DB!$D:$D,0)),
          INDEX([1]DB!$C:$C,MATCH($E87,[1]DB!$D:$D,0))
        )
      ),
      IF(
        COUNTIFS($C$2:C87,C87,$E$2:E87,E87,$D$2:D87,D87)=1,
        INDEX([1]DB!$A:$A,MATCH($E87,[1]DB!$D:$D,0)),
        IF(
          COUNTIFS($C$2:C87,C87,$E$2:E87,E87,$D$2:D87,D87)=2,
          INDEX([1]DB!$B:$B,MATCH($E87,[1]DB!$D:$D,0)),
          INDEX([1]DB!$C:$C,MATCH($E87,[1]DB!$D:$D,0))
        )
      )
    )
  ),
  0
)</f>
        <v>0</v>
      </c>
      <c r="O87" s="5" t="str">
        <f>IF(DAY(A87)&lt;=15,UPPER(LEFT(TEXT(A87,"mmmm"),1))&amp;RIGHT(TEXT(A87,"mmmm"),LEN(TEXT(A87,"mmmm"))-1),UPPER(LEFT(TEXT(DATE(YEAR(A87),MONTH(A87)+1,1),"mmmm"),1))&amp;RIGHT(TEXT(DATE(YEAR(A87),MONTH(A87)+1,1),"mmmm"),LEN(TEXT(DATE(YEAR(A87),MONTH(A87)+1,1),"mmmm"))-1))</f>
        <v>Janvier</v>
      </c>
      <c r="P87" s="6" t="str">
        <f ca="1">IF(AND(A87&lt;=TODAY(),F87&lt;&gt;""),"OK","NON")</f>
        <v>NON</v>
      </c>
    </row>
    <row r="88" spans="1:16">
      <c r="A88" s="4"/>
      <c r="B88" s="5"/>
      <c r="C88" s="5"/>
      <c r="D88" s="6"/>
      <c r="E88" s="6"/>
      <c r="F88" s="7"/>
      <c r="G88" s="8" cm="1">
        <f t="array" ref="G88">IFERROR(
  IF(D88&lt;&gt;"Cédric",
     0,
     SUMPRODUCT(
       (TRIM(SUBSTITUTE(UPPER($B$2:$B88),CHAR(160),""))=TRIM(SUBSTITUTE(UPPER(B88),CHAR(160),"")))*
       (TRIM(SUBSTITUTE(UPPER($C$2:$C88),CHAR(160),""))=TRIM(SUBSTITUTE(UPPER(C88),CHAR(160),"")))*
       (TRIM(SUBSTITUTE(UPPER($D$2:$D88),CHAR(160),""))=TRIM(SUBSTITUTE(UPPER(D88),CHAR(160),"")))*
       (TRIM(SUBSTITUTE(UPPER($E$2:$E88),CHAR(160),""))=TRIM(SUBSTITUTE(UPPER(E88),CHAR(160),"")))
     )
  ),
  0
)</f>
        <v>0</v>
      </c>
      <c r="H88" s="8" cm="1">
        <f t="array" ref="H88">IFERROR(
  IF(D88&lt;&gt;"Geoffroy",
     0,
     SUMPRODUCT(
       (TRIM(SUBSTITUTE(UPPER($B$2:$B88),CHAR(160),""))=TRIM(SUBSTITUTE(UPPER(B88),CHAR(160),"")))*
       (TRIM(SUBSTITUTE(UPPER($C$2:$C88),CHAR(160),""))=TRIM(SUBSTITUTE(UPPER(C88),CHAR(160),"")))*
       (TRIM(SUBSTITUTE(UPPER($D$2:$D88),CHAR(160),""))=TRIM(SUBSTITUTE(UPPER(D88),CHAR(160),"")))*
       (TRIM(SUBSTITUTE(UPPER($E$2:$E88),CHAR(160),""))=TRIM(SUBSTITUTE(UPPER(E88),CHAR(160),"")))
     )
  ),
  0
)</f>
        <v>0</v>
      </c>
      <c r="I88" s="8" cm="1">
        <f t="array" ref="I88">IFERROR(
  IF(D88&lt;&gt;"Tiphaine",
     0,
     SUMPRODUCT(
       (TRIM(SUBSTITUTE(UPPER($B$2:$B88),CHAR(160),""))=TRIM(SUBSTITUTE(UPPER(B88),CHAR(160),"")))*
       (TRIM(SUBSTITUTE(UPPER($C$2:$C88),CHAR(160),""))=TRIM(SUBSTITUTE(UPPER(C88),CHAR(160),"")))*
       (TRIM(SUBSTITUTE(UPPER($D$2:$D88),CHAR(160),""))=TRIM(SUBSTITUTE(UPPER(D88),CHAR(160),"")))*
       (TRIM(SUBSTITUTE(UPPER($E$2:$E88),CHAR(160),""))=TRIM(SUBSTITUTE(UPPER(E88),CHAR(160),"")))
     )
  ),
  0
)</f>
        <v>0</v>
      </c>
      <c r="J88" s="8" cm="1">
        <f t="array" ref="J88">IFERROR(
  IF(D88&lt;&gt;"Catherine",
     0,
     SUMPRODUCT(
       (TRIM(SUBSTITUTE(UPPER($B$2:$B88),CHAR(160),""))=TRIM(SUBSTITUTE(UPPER(B88),CHAR(160),"")))*
       (TRIM(SUBSTITUTE(UPPER($C$2:$C88),CHAR(160),""))=TRIM(SUBSTITUTE(UPPER(C88),CHAR(160),"")))*
       (TRIM(SUBSTITUTE(UPPER($D$2:$D88),CHAR(160),""))=TRIM(SUBSTITUTE(UPPER(D88),CHAR(160),"")))*
       (TRIM(SUBSTITUTE(UPPER($E$2:$E88),CHAR(160),""))=TRIM(SUBSTITUTE(UPPER(E88),CHAR(160),"")))
     )
  ),
  0
)</f>
        <v>0</v>
      </c>
      <c r="K88" s="9">
        <f>IFERROR(
  IF(
    D88&lt;&gt;"Cédric",
    0,
    IF(
      C88="",
      IF(
        COUNTIFS($B$2:B88,B88,$E$2:E88,E88,$D$2:D88,D88)=1,
        INDEX([1]DB!$A:$A,MATCH($E88,[1]DB!$D:$D,0)),
        IF(
          COUNTIFS($B$2:B88,B88,$E$2:E88,E88,$D$2:D88,D88)=2,
          INDEX([1]DB!$B:$B,MATCH($E88,[1]DB!$D:$D,0)),
          INDEX([1]DB!$C:$C,MATCH($E88,[1]DB!$D:$D,0))
        )
      ),
      IF(
        COUNTIFS($C$2:C88,C88,$E$2:E88,E88,$D$2:D88,D88)=1,
        INDEX([1]DB!$A:$A,MATCH($E88,[1]DB!$D:$D,0)),
        IF(
          COUNTIFS($C$2:C88,C88,$E$2:E88,E88,$D$2:D88,D88)=2,
          INDEX([1]DB!$B:$B,MATCH($E88,[1]DB!$D:$D,0)),
          INDEX([1]DB!$C:$C,MATCH($E88,[1]DB!$D:$D,0))
        )
      )
    )
  ),
  0
)</f>
        <v>0</v>
      </c>
      <c r="L88" s="9">
        <f>IFERROR(
  IF(
    D88&lt;&gt;"Geoffroy",
    0,
    IF(
      C88="",
      IF(
        COUNTIFS($B$2:B88,B88,$E$2:E88,E88,$D$2:D88,D88)=1,
        INDEX([1]DB!$A:$A,MATCH($E88,[1]DB!$D:$D,0)),
        IF(
          COUNTIFS($B$2:B88,B88,$E$2:E88,E88,$D$2:D88,D88)=2,
          INDEX([1]DB!$B:$B,MATCH($E88,[1]DB!$D:$D,0)),
          INDEX([1]DB!$C:$C,MATCH($E88,[1]DB!$D:$D,0))
        )
      ),
      IF(
        COUNTIFS($C$2:C88,C88,$E$2:E88,E88,$D$2:D88,D88)=1,
        INDEX([1]DB!$A:$A,MATCH($E88,[1]DB!$D:$D,0)),
        IF(
          COUNTIFS($C$2:C88,C88,$E$2:E88,E88,$D$2:D88,D88)=2,
          INDEX([1]DB!$B:$B,MATCH($E88,[1]DB!$D:$D,0)),
          INDEX([1]DB!$C:$C,MATCH($E88,[1]DB!$D:$D,0))
        )
      )
    )
  ),
  0
)</f>
        <v>0</v>
      </c>
      <c r="M88" s="9">
        <f>IFERROR(
  IF(
    D88&lt;&gt;"Tiphaine",
    0,
    IF(
      C88="",
      IF(
        COUNTIFS($B$2:B88,B88,$E$2:E88,E88,$D$2:D88,D88)=1,
        INDEX([1]DB!$A:$A,MATCH($E88,[1]DB!$D:$D,0)),
        IF(
          COUNTIFS($B$2:B88,B88,$E$2:E88,E88,$D$2:D88,D88)=2,
          INDEX([1]DB!$B:$B,MATCH($E88,[1]DB!$D:$D,0)),
          INDEX([1]DB!$C:$C,MATCH($E88,[1]DB!$D:$D,0))
        )
      ),
      IF(
        COUNTIFS($C$2:C88,C88,$E$2:E88,E88,$D$2:D88,D88)=1,
        INDEX([1]DB!$A:$A,MATCH($E88,[1]DB!$D:$D,0)),
        IF(
          COUNTIFS($C$2:C88,C88,$E$2:E88,E88,$D$2:D88,D88)=2,
          INDEX([1]DB!$B:$B,MATCH($E88,[1]DB!$D:$D,0)),
          INDEX([1]DB!$C:$C,MATCH($E88,[1]DB!$D:$D,0))
        )
      )
    )
  ),
  0
)</f>
        <v>0</v>
      </c>
      <c r="N88" s="9">
        <f>IFERROR(
  IF(
    D88&lt;&gt;"Catherine",
    0,
    IF(
      C88="",
      IF(
        COUNTIFS($B$2:B88,B88,$E$2:E88,E88,$D$2:D88,D88)=1,
        INDEX([1]DB!$A:$A,MATCH($E88,[1]DB!$D:$D,0)),
        IF(
          COUNTIFS($B$2:B88,B88,$E$2:E88,E88,$D$2:D88,D88)=2,
          INDEX([1]DB!$B:$B,MATCH($E88,[1]DB!$D:$D,0)),
          INDEX([1]DB!$C:$C,MATCH($E88,[1]DB!$D:$D,0))
        )
      ),
      IF(
        COUNTIFS($C$2:C88,C88,$E$2:E88,E88,$D$2:D88,D88)=1,
        INDEX([1]DB!$A:$A,MATCH($E88,[1]DB!$D:$D,0)),
        IF(
          COUNTIFS($C$2:C88,C88,$E$2:E88,E88,$D$2:D88,D88)=2,
          INDEX([1]DB!$B:$B,MATCH($E88,[1]DB!$D:$D,0)),
          INDEX([1]DB!$C:$C,MATCH($E88,[1]DB!$D:$D,0))
        )
      )
    )
  ),
  0
)</f>
        <v>0</v>
      </c>
      <c r="O88" s="5" t="str">
        <f>IF(DAY(A88)&lt;=15,UPPER(LEFT(TEXT(A88,"mmmm"),1))&amp;RIGHT(TEXT(A88,"mmmm"),LEN(TEXT(A88,"mmmm"))-1),UPPER(LEFT(TEXT(DATE(YEAR(A88),MONTH(A88)+1,1),"mmmm"),1))&amp;RIGHT(TEXT(DATE(YEAR(A88),MONTH(A88)+1,1),"mmmm"),LEN(TEXT(DATE(YEAR(A88),MONTH(A88)+1,1),"mmmm"))-1))</f>
        <v>Janvier</v>
      </c>
      <c r="P88" s="6" t="str">
        <f ca="1">IF(AND(A88&lt;=TODAY(),F88&lt;&gt;""),"OK","NON")</f>
        <v>NON</v>
      </c>
    </row>
    <row r="89" spans="1:16">
      <c r="A89" s="4"/>
      <c r="B89" s="5"/>
      <c r="C89" s="5"/>
      <c r="D89" s="6"/>
      <c r="E89" s="6"/>
      <c r="F89" s="7"/>
      <c r="G89" s="8" cm="1">
        <f t="array" ref="G89">IFERROR(
  IF(D89&lt;&gt;"Cédric",
     0,
     SUMPRODUCT(
       (TRIM(SUBSTITUTE(UPPER($B$2:$B89),CHAR(160),""))=TRIM(SUBSTITUTE(UPPER(B89),CHAR(160),"")))*
       (TRIM(SUBSTITUTE(UPPER($C$2:$C89),CHAR(160),""))=TRIM(SUBSTITUTE(UPPER(C89),CHAR(160),"")))*
       (TRIM(SUBSTITUTE(UPPER($D$2:$D89),CHAR(160),""))=TRIM(SUBSTITUTE(UPPER(D89),CHAR(160),"")))*
       (TRIM(SUBSTITUTE(UPPER($E$2:$E89),CHAR(160),""))=TRIM(SUBSTITUTE(UPPER(E89),CHAR(160),"")))
     )
  ),
  0
)</f>
        <v>0</v>
      </c>
      <c r="H89" s="8" cm="1">
        <f t="array" ref="H89">IFERROR(
  IF(D89&lt;&gt;"Geoffroy",
     0,
     SUMPRODUCT(
       (TRIM(SUBSTITUTE(UPPER($B$2:$B89),CHAR(160),""))=TRIM(SUBSTITUTE(UPPER(B89),CHAR(160),"")))*
       (TRIM(SUBSTITUTE(UPPER($C$2:$C89),CHAR(160),""))=TRIM(SUBSTITUTE(UPPER(C89),CHAR(160),"")))*
       (TRIM(SUBSTITUTE(UPPER($D$2:$D89),CHAR(160),""))=TRIM(SUBSTITUTE(UPPER(D89),CHAR(160),"")))*
       (TRIM(SUBSTITUTE(UPPER($E$2:$E89),CHAR(160),""))=TRIM(SUBSTITUTE(UPPER(E89),CHAR(160),"")))
     )
  ),
  0
)</f>
        <v>0</v>
      </c>
      <c r="I89" s="8" cm="1">
        <f t="array" ref="I89">IFERROR(
  IF(D89&lt;&gt;"Tiphaine",
     0,
     SUMPRODUCT(
       (TRIM(SUBSTITUTE(UPPER($B$2:$B89),CHAR(160),""))=TRIM(SUBSTITUTE(UPPER(B89),CHAR(160),"")))*
       (TRIM(SUBSTITUTE(UPPER($C$2:$C89),CHAR(160),""))=TRIM(SUBSTITUTE(UPPER(C89),CHAR(160),"")))*
       (TRIM(SUBSTITUTE(UPPER($D$2:$D89),CHAR(160),""))=TRIM(SUBSTITUTE(UPPER(D89),CHAR(160),"")))*
       (TRIM(SUBSTITUTE(UPPER($E$2:$E89),CHAR(160),""))=TRIM(SUBSTITUTE(UPPER(E89),CHAR(160),"")))
     )
  ),
  0
)</f>
        <v>0</v>
      </c>
      <c r="J89" s="8" cm="1">
        <f t="array" ref="J89">IFERROR(
  IF(D89&lt;&gt;"Catherine",
     0,
     SUMPRODUCT(
       (TRIM(SUBSTITUTE(UPPER($B$2:$B89),CHAR(160),""))=TRIM(SUBSTITUTE(UPPER(B89),CHAR(160),"")))*
       (TRIM(SUBSTITUTE(UPPER($C$2:$C89),CHAR(160),""))=TRIM(SUBSTITUTE(UPPER(C89),CHAR(160),"")))*
       (TRIM(SUBSTITUTE(UPPER($D$2:$D89),CHAR(160),""))=TRIM(SUBSTITUTE(UPPER(D89),CHAR(160),"")))*
       (TRIM(SUBSTITUTE(UPPER($E$2:$E89),CHAR(160),""))=TRIM(SUBSTITUTE(UPPER(E89),CHAR(160),"")))
     )
  ),
  0
)</f>
        <v>0</v>
      </c>
      <c r="K89" s="9">
        <f>IFERROR(
  IF(
    D89&lt;&gt;"Cédric",
    0,
    IF(
      C89="",
      IF(
        COUNTIFS($B$2:B89,B89,$E$2:E89,E89,$D$2:D89,D89)=1,
        INDEX([1]DB!$A:$A,MATCH($E89,[1]DB!$D:$D,0)),
        IF(
          COUNTIFS($B$2:B89,B89,$E$2:E89,E89,$D$2:D89,D89)=2,
          INDEX([1]DB!$B:$B,MATCH($E89,[1]DB!$D:$D,0)),
          INDEX([1]DB!$C:$C,MATCH($E89,[1]DB!$D:$D,0))
        )
      ),
      IF(
        COUNTIFS($C$2:C89,C89,$E$2:E89,E89,$D$2:D89,D89)=1,
        INDEX([1]DB!$A:$A,MATCH($E89,[1]DB!$D:$D,0)),
        IF(
          COUNTIFS($C$2:C89,C89,$E$2:E89,E89,$D$2:D89,D89)=2,
          INDEX([1]DB!$B:$B,MATCH($E89,[1]DB!$D:$D,0)),
          INDEX([1]DB!$C:$C,MATCH($E89,[1]DB!$D:$D,0))
        )
      )
    )
  ),
  0
)</f>
        <v>0</v>
      </c>
      <c r="L89" s="9">
        <f>IFERROR(
  IF(
    D89&lt;&gt;"Geoffroy",
    0,
    IF(
      C89="",
      IF(
        COUNTIFS($B$2:B89,B89,$E$2:E89,E89,$D$2:D89,D89)=1,
        INDEX([1]DB!$A:$A,MATCH($E89,[1]DB!$D:$D,0)),
        IF(
          COUNTIFS($B$2:B89,B89,$E$2:E89,E89,$D$2:D89,D89)=2,
          INDEX([1]DB!$B:$B,MATCH($E89,[1]DB!$D:$D,0)),
          INDEX([1]DB!$C:$C,MATCH($E89,[1]DB!$D:$D,0))
        )
      ),
      IF(
        COUNTIFS($C$2:C89,C89,$E$2:E89,E89,$D$2:D89,D89)=1,
        INDEX([1]DB!$A:$A,MATCH($E89,[1]DB!$D:$D,0)),
        IF(
          COUNTIFS($C$2:C89,C89,$E$2:E89,E89,$D$2:D89,D89)=2,
          INDEX([1]DB!$B:$B,MATCH($E89,[1]DB!$D:$D,0)),
          INDEX([1]DB!$C:$C,MATCH($E89,[1]DB!$D:$D,0))
        )
      )
    )
  ),
  0
)</f>
        <v>0</v>
      </c>
      <c r="M89" s="9">
        <f>IFERROR(
  IF(
    D89&lt;&gt;"Tiphaine",
    0,
    IF(
      C89="",
      IF(
        COUNTIFS($B$2:B89,B89,$E$2:E89,E89,$D$2:D89,D89)=1,
        INDEX([1]DB!$A:$A,MATCH($E89,[1]DB!$D:$D,0)),
        IF(
          COUNTIFS($B$2:B89,B89,$E$2:E89,E89,$D$2:D89,D89)=2,
          INDEX([1]DB!$B:$B,MATCH($E89,[1]DB!$D:$D,0)),
          INDEX([1]DB!$C:$C,MATCH($E89,[1]DB!$D:$D,0))
        )
      ),
      IF(
        COUNTIFS($C$2:C89,C89,$E$2:E89,E89,$D$2:D89,D89)=1,
        INDEX([1]DB!$A:$A,MATCH($E89,[1]DB!$D:$D,0)),
        IF(
          COUNTIFS($C$2:C89,C89,$E$2:E89,E89,$D$2:D89,D89)=2,
          INDEX([1]DB!$B:$B,MATCH($E89,[1]DB!$D:$D,0)),
          INDEX([1]DB!$C:$C,MATCH($E89,[1]DB!$D:$D,0))
        )
      )
    )
  ),
  0
)</f>
        <v>0</v>
      </c>
      <c r="N89" s="9">
        <f>IFERROR(
  IF(
    D89&lt;&gt;"Catherine",
    0,
    IF(
      C89="",
      IF(
        COUNTIFS($B$2:B89,B89,$E$2:E89,E89,$D$2:D89,D89)=1,
        INDEX([1]DB!$A:$A,MATCH($E89,[1]DB!$D:$D,0)),
        IF(
          COUNTIFS($B$2:B89,B89,$E$2:E89,E89,$D$2:D89,D89)=2,
          INDEX([1]DB!$B:$B,MATCH($E89,[1]DB!$D:$D,0)),
          INDEX([1]DB!$C:$C,MATCH($E89,[1]DB!$D:$D,0))
        )
      ),
      IF(
        COUNTIFS($C$2:C89,C89,$E$2:E89,E89,$D$2:D89,D89)=1,
        INDEX([1]DB!$A:$A,MATCH($E89,[1]DB!$D:$D,0)),
        IF(
          COUNTIFS($C$2:C89,C89,$E$2:E89,E89,$D$2:D89,D89)=2,
          INDEX([1]DB!$B:$B,MATCH($E89,[1]DB!$D:$D,0)),
          INDEX([1]DB!$C:$C,MATCH($E89,[1]DB!$D:$D,0))
        )
      )
    )
  ),
  0
)</f>
        <v>0</v>
      </c>
      <c r="O89" s="5" t="str">
        <f>IF(DAY(A89)&lt;=15,UPPER(LEFT(TEXT(A89,"mmmm"),1))&amp;RIGHT(TEXT(A89,"mmmm"),LEN(TEXT(A89,"mmmm"))-1),UPPER(LEFT(TEXT(DATE(YEAR(A89),MONTH(A89)+1,1),"mmmm"),1))&amp;RIGHT(TEXT(DATE(YEAR(A89),MONTH(A89)+1,1),"mmmm"),LEN(TEXT(DATE(YEAR(A89),MONTH(A89)+1,1),"mmmm"))-1))</f>
        <v>Janvier</v>
      </c>
      <c r="P89" s="6" t="str">
        <f ca="1">IF(AND(A89&lt;=TODAY(),F89&lt;&gt;""),"OK","NON")</f>
        <v>NON</v>
      </c>
    </row>
    <row r="90" spans="1:16">
      <c r="A90" s="4"/>
      <c r="B90" s="5"/>
      <c r="C90" s="5"/>
      <c r="D90" s="6"/>
      <c r="E90" s="6"/>
      <c r="F90" s="7"/>
      <c r="G90" s="8" cm="1">
        <f t="array" ref="G90">IFERROR(
  IF(D90&lt;&gt;"Cédric",
     0,
     SUMPRODUCT(
       (TRIM(SUBSTITUTE(UPPER($B$2:$B90),CHAR(160),""))=TRIM(SUBSTITUTE(UPPER(B90),CHAR(160),"")))*
       (TRIM(SUBSTITUTE(UPPER($C$2:$C90),CHAR(160),""))=TRIM(SUBSTITUTE(UPPER(C90),CHAR(160),"")))*
       (TRIM(SUBSTITUTE(UPPER($D$2:$D90),CHAR(160),""))=TRIM(SUBSTITUTE(UPPER(D90),CHAR(160),"")))*
       (TRIM(SUBSTITUTE(UPPER($E$2:$E90),CHAR(160),""))=TRIM(SUBSTITUTE(UPPER(E90),CHAR(160),"")))
     )
  ),
  0
)</f>
        <v>0</v>
      </c>
      <c r="H90" s="8" cm="1">
        <f t="array" ref="H90">IFERROR(
  IF(D90&lt;&gt;"Geoffroy",
     0,
     SUMPRODUCT(
       (TRIM(SUBSTITUTE(UPPER($B$2:$B90),CHAR(160),""))=TRIM(SUBSTITUTE(UPPER(B90),CHAR(160),"")))*
       (TRIM(SUBSTITUTE(UPPER($C$2:$C90),CHAR(160),""))=TRIM(SUBSTITUTE(UPPER(C90),CHAR(160),"")))*
       (TRIM(SUBSTITUTE(UPPER($D$2:$D90),CHAR(160),""))=TRIM(SUBSTITUTE(UPPER(D90),CHAR(160),"")))*
       (TRIM(SUBSTITUTE(UPPER($E$2:$E90),CHAR(160),""))=TRIM(SUBSTITUTE(UPPER(E90),CHAR(160),"")))
     )
  ),
  0
)</f>
        <v>0</v>
      </c>
      <c r="I90" s="8" cm="1">
        <f t="array" ref="I90">IFERROR(
  IF(D90&lt;&gt;"Tiphaine",
     0,
     SUMPRODUCT(
       (TRIM(SUBSTITUTE(UPPER($B$2:$B90),CHAR(160),""))=TRIM(SUBSTITUTE(UPPER(B90),CHAR(160),"")))*
       (TRIM(SUBSTITUTE(UPPER($C$2:$C90),CHAR(160),""))=TRIM(SUBSTITUTE(UPPER(C90),CHAR(160),"")))*
       (TRIM(SUBSTITUTE(UPPER($D$2:$D90),CHAR(160),""))=TRIM(SUBSTITUTE(UPPER(D90),CHAR(160),"")))*
       (TRIM(SUBSTITUTE(UPPER($E$2:$E90),CHAR(160),""))=TRIM(SUBSTITUTE(UPPER(E90),CHAR(160),"")))
     )
  ),
  0
)</f>
        <v>0</v>
      </c>
      <c r="J90" s="8" cm="1">
        <f t="array" ref="J90">IFERROR(
  IF(D90&lt;&gt;"Catherine",
     0,
     SUMPRODUCT(
       (TRIM(SUBSTITUTE(UPPER($B$2:$B90),CHAR(160),""))=TRIM(SUBSTITUTE(UPPER(B90),CHAR(160),"")))*
       (TRIM(SUBSTITUTE(UPPER($C$2:$C90),CHAR(160),""))=TRIM(SUBSTITUTE(UPPER(C90),CHAR(160),"")))*
       (TRIM(SUBSTITUTE(UPPER($D$2:$D90),CHAR(160),""))=TRIM(SUBSTITUTE(UPPER(D90),CHAR(160),"")))*
       (TRIM(SUBSTITUTE(UPPER($E$2:$E90),CHAR(160),""))=TRIM(SUBSTITUTE(UPPER(E90),CHAR(160),"")))
     )
  ),
  0
)</f>
        <v>0</v>
      </c>
      <c r="K90" s="9">
        <f>IFERROR(
  IF(
    D90&lt;&gt;"Cédric",
    0,
    IF(
      C90="",
      IF(
        COUNTIFS($B$2:B90,B90,$E$2:E90,E90,$D$2:D90,D90)=1,
        INDEX([1]DB!$A:$A,MATCH($E90,[1]DB!$D:$D,0)),
        IF(
          COUNTIFS($B$2:B90,B90,$E$2:E90,E90,$D$2:D90,D90)=2,
          INDEX([1]DB!$B:$B,MATCH($E90,[1]DB!$D:$D,0)),
          INDEX([1]DB!$C:$C,MATCH($E90,[1]DB!$D:$D,0))
        )
      ),
      IF(
        COUNTIFS($C$2:C90,C90,$E$2:E90,E90,$D$2:D90,D90)=1,
        INDEX([1]DB!$A:$A,MATCH($E90,[1]DB!$D:$D,0)),
        IF(
          COUNTIFS($C$2:C90,C90,$E$2:E90,E90,$D$2:D90,D90)=2,
          INDEX([1]DB!$B:$B,MATCH($E90,[1]DB!$D:$D,0)),
          INDEX([1]DB!$C:$C,MATCH($E90,[1]DB!$D:$D,0))
        )
      )
    )
  ),
  0
)</f>
        <v>0</v>
      </c>
      <c r="L90" s="12">
        <f>IFERROR(
  IF(
    D90&lt;&gt;"Geoffroy",
    0,
    IF(
      C90="",
      IF(
        COUNTIFS($B$2:B90,B90,$E$2:E90,E90,$D$2:D90,D90)=1,
        INDEX([1]DB!$A:$A,MATCH($E90,[1]DB!$D:$D,0)),
        IF(
          COUNTIFS($B$2:B90,B90,$E$2:E90,E90,$D$2:D90,D90)=2,
          INDEX([1]DB!$B:$B,MATCH($E90,[1]DB!$D:$D,0)),
          INDEX([1]DB!$C:$C,MATCH($E90,[1]DB!$D:$D,0))
        )
      ),
      IF(
        COUNTIFS($C$2:C90,C90,$E$2:E90,E90,$D$2:D90,D90)=1,
        INDEX([1]DB!$A:$A,MATCH($E90,[1]DB!$D:$D,0)),
        IF(
          COUNTIFS($C$2:C90,C90,$E$2:E90,E90,$D$2:D90,D90)=2,
          INDEX([1]DB!$B:$B,MATCH($E90,[1]DB!$D:$D,0)),
          INDEX([1]DB!$C:$C,MATCH($E90,[1]DB!$D:$D,0))
        )
      )
    )
  ),
  0
)</f>
        <v>0</v>
      </c>
      <c r="M90" s="12">
        <f>IFERROR(
  IF(
    D90&lt;&gt;"Tiphaine",
    0,
    IF(
      C90="",
      IF(
        COUNTIFS($B$2:B90,B90,$E$2:E90,E90,$D$2:D90,D90)=1,
        INDEX([1]DB!$A:$A,MATCH($E90,[1]DB!$D:$D,0)),
        IF(
          COUNTIFS($B$2:B90,B90,$E$2:E90,E90,$D$2:D90,D90)=2,
          INDEX([1]DB!$B:$B,MATCH($E90,[1]DB!$D:$D,0)),
          INDEX([1]DB!$C:$C,MATCH($E90,[1]DB!$D:$D,0))
        )
      ),
      IF(
        COUNTIFS($C$2:C90,C90,$E$2:E90,E90,$D$2:D90,D90)=1,
        INDEX([1]DB!$A:$A,MATCH($E90,[1]DB!$D:$D,0)),
        IF(
          COUNTIFS($C$2:C90,C90,$E$2:E90,E90,$D$2:D90,D90)=2,
          INDEX([1]DB!$B:$B,MATCH($E90,[1]DB!$D:$D,0)),
          INDEX([1]DB!$C:$C,MATCH($E90,[1]DB!$D:$D,0))
        )
      )
    )
  ),
  0
)</f>
        <v>0</v>
      </c>
      <c r="N90" s="12">
        <f>IFERROR(
  IF(
    D90&lt;&gt;"Catherine",
    0,
    IF(
      C90="",
      IF(
        COUNTIFS($B$2:B90,B90,$E$2:E90,E90,$D$2:D90,D90)=1,
        INDEX([1]DB!$A:$A,MATCH($E90,[1]DB!$D:$D,0)),
        IF(
          COUNTIFS($B$2:B90,B90,$E$2:E90,E90,$D$2:D90,D90)=2,
          INDEX([1]DB!$B:$B,MATCH($E90,[1]DB!$D:$D,0)),
          INDEX([1]DB!$C:$C,MATCH($E90,[1]DB!$D:$D,0))
        )
      ),
      IF(
        COUNTIFS($C$2:C90,C90,$E$2:E90,E90,$D$2:D90,D90)=1,
        INDEX([1]DB!$A:$A,MATCH($E90,[1]DB!$D:$D,0)),
        IF(
          COUNTIFS($C$2:C90,C90,$E$2:E90,E90,$D$2:D90,D90)=2,
          INDEX([1]DB!$B:$B,MATCH($E90,[1]DB!$D:$D,0)),
          INDEX([1]DB!$C:$C,MATCH($E90,[1]DB!$D:$D,0))
        )
      )
    )
  ),
  0
)</f>
        <v>0</v>
      </c>
      <c r="O90" s="13" t="str">
        <f>IF(DAY(A90)&lt;=15,UPPER(LEFT(TEXT(A90,"mmmm"),1))&amp;RIGHT(TEXT(A90,"mmmm"),LEN(TEXT(A90,"mmmm"))-1),UPPER(LEFT(TEXT(DATE(YEAR(A90),MONTH(A90)+1,1),"mmmm"),1))&amp;RIGHT(TEXT(DATE(YEAR(A90),MONTH(A90)+1,1),"mmmm"),LEN(TEXT(DATE(YEAR(A90),MONTH(A90)+1,1),"mmmm"))-1))</f>
        <v>Janvier</v>
      </c>
      <c r="P90" s="6" t="str">
        <f ca="1">IF(AND(A90&lt;=TODAY(),F90&lt;&gt;""),"OK","NON")</f>
        <v>NON</v>
      </c>
    </row>
    <row r="91" spans="1:16">
      <c r="A91" s="4"/>
      <c r="B91" s="5"/>
      <c r="C91" s="5"/>
      <c r="D91" s="6"/>
      <c r="E91" s="6"/>
      <c r="F91" s="7"/>
      <c r="G91" s="8" cm="1">
        <f t="array" ref="G91">IFERROR(
  IF(D91&lt;&gt;"Cédric",
     0,
     SUMPRODUCT(
       (TRIM(SUBSTITUTE(UPPER($B$2:$B91),CHAR(160),""))=TRIM(SUBSTITUTE(UPPER(B91),CHAR(160),"")))*
       (TRIM(SUBSTITUTE(UPPER($C$2:$C91),CHAR(160),""))=TRIM(SUBSTITUTE(UPPER(C91),CHAR(160),"")))*
       (TRIM(SUBSTITUTE(UPPER($D$2:$D91),CHAR(160),""))=TRIM(SUBSTITUTE(UPPER(D91),CHAR(160),"")))*
       (TRIM(SUBSTITUTE(UPPER($E$2:$E91),CHAR(160),""))=TRIM(SUBSTITUTE(UPPER(E91),CHAR(160),"")))
     )
  ),
  0
)</f>
        <v>0</v>
      </c>
      <c r="H91" s="8" cm="1">
        <f t="array" ref="H91">IFERROR(
  IF(D91&lt;&gt;"Geoffroy",
     0,
     SUMPRODUCT(
       (TRIM(SUBSTITUTE(UPPER($B$2:$B91),CHAR(160),""))=TRIM(SUBSTITUTE(UPPER(B91),CHAR(160),"")))*
       (TRIM(SUBSTITUTE(UPPER($C$2:$C91),CHAR(160),""))=TRIM(SUBSTITUTE(UPPER(C91),CHAR(160),"")))*
       (TRIM(SUBSTITUTE(UPPER($D$2:$D91),CHAR(160),""))=TRIM(SUBSTITUTE(UPPER(D91),CHAR(160),"")))*
       (TRIM(SUBSTITUTE(UPPER($E$2:$E91),CHAR(160),""))=TRIM(SUBSTITUTE(UPPER(E91),CHAR(160),"")))
     )
  ),
  0
)</f>
        <v>0</v>
      </c>
      <c r="I91" s="8" cm="1">
        <f t="array" ref="I91">IFERROR(
  IF(D91&lt;&gt;"Tiphaine",
     0,
     SUMPRODUCT(
       (TRIM(SUBSTITUTE(UPPER($B$2:$B91),CHAR(160),""))=TRIM(SUBSTITUTE(UPPER(B91),CHAR(160),"")))*
       (TRIM(SUBSTITUTE(UPPER($C$2:$C91),CHAR(160),""))=TRIM(SUBSTITUTE(UPPER(C91),CHAR(160),"")))*
       (TRIM(SUBSTITUTE(UPPER($D$2:$D91),CHAR(160),""))=TRIM(SUBSTITUTE(UPPER(D91),CHAR(160),"")))*
       (TRIM(SUBSTITUTE(UPPER($E$2:$E91),CHAR(160),""))=TRIM(SUBSTITUTE(UPPER(E91),CHAR(160),"")))
     )
  ),
  0
)</f>
        <v>0</v>
      </c>
      <c r="J91" s="8" cm="1">
        <f t="array" ref="J91">IFERROR(
  IF(D91&lt;&gt;"Catherine",
     0,
     SUMPRODUCT(
       (TRIM(SUBSTITUTE(UPPER($B$2:$B91),CHAR(160),""))=TRIM(SUBSTITUTE(UPPER(B91),CHAR(160),"")))*
       (TRIM(SUBSTITUTE(UPPER($C$2:$C91),CHAR(160),""))=TRIM(SUBSTITUTE(UPPER(C91),CHAR(160),"")))*
       (TRIM(SUBSTITUTE(UPPER($D$2:$D91),CHAR(160),""))=TRIM(SUBSTITUTE(UPPER(D91),CHAR(160),"")))*
       (TRIM(SUBSTITUTE(UPPER($E$2:$E91),CHAR(160),""))=TRIM(SUBSTITUTE(UPPER(E91),CHAR(160),"")))
     )
  ),
  0
)</f>
        <v>0</v>
      </c>
      <c r="K91" s="9">
        <f>IFERROR(
  IF(
    D91&lt;&gt;"Cédric",
    0,
    IF(
      C91="",
      IF(
        COUNTIFS($B$2:B91,B91,$E$2:E91,E91,$D$2:D91,D91)=1,
        INDEX([1]DB!$A:$A,MATCH($E91,[1]DB!$D:$D,0)),
        IF(
          COUNTIFS($B$2:B91,B91,$E$2:E91,E91,$D$2:D91,D91)=2,
          INDEX([1]DB!$B:$B,MATCH($E91,[1]DB!$D:$D,0)),
          INDEX([1]DB!$C:$C,MATCH($E91,[1]DB!$D:$D,0))
        )
      ),
      IF(
        COUNTIFS($C$2:C91,C91,$E$2:E91,E91,$D$2:D91,D91)=1,
        INDEX([1]DB!$A:$A,MATCH($E91,[1]DB!$D:$D,0)),
        IF(
          COUNTIFS($C$2:C91,C91,$E$2:E91,E91,$D$2:D91,D91)=2,
          INDEX([1]DB!$B:$B,MATCH($E91,[1]DB!$D:$D,0)),
          INDEX([1]DB!$C:$C,MATCH($E91,[1]DB!$D:$D,0))
        )
      )
    )
  ),
  0
)</f>
        <v>0</v>
      </c>
      <c r="L91" s="9">
        <f>IFERROR(
  IF(
    D91&lt;&gt;"Geoffroy",
    0,
    IF(
      C91="",
      IF(
        COUNTIFS($B$2:B91,B91,$E$2:E91,E91,$D$2:D91,D91)=1,
        INDEX([1]DB!$A:$A,MATCH($E91,[1]DB!$D:$D,0)),
        IF(
          COUNTIFS($B$2:B91,B91,$E$2:E91,E91,$D$2:D91,D91)=2,
          INDEX([1]DB!$B:$B,MATCH($E91,[1]DB!$D:$D,0)),
          INDEX([1]DB!$C:$C,MATCH($E91,[1]DB!$D:$D,0))
        )
      ),
      IF(
        COUNTIFS($C$2:C91,C91,$E$2:E91,E91,$D$2:D91,D91)=1,
        INDEX([1]DB!$A:$A,MATCH($E91,[1]DB!$D:$D,0)),
        IF(
          COUNTIFS($C$2:C91,C91,$E$2:E91,E91,$D$2:D91,D91)=2,
          INDEX([1]DB!$B:$B,MATCH($E91,[1]DB!$D:$D,0)),
          INDEX([1]DB!$C:$C,MATCH($E91,[1]DB!$D:$D,0))
        )
      )
    )
  ),
  0
)</f>
        <v>0</v>
      </c>
      <c r="M91" s="9">
        <f>IFERROR(
  IF(
    D91&lt;&gt;"Tiphaine",
    0,
    IF(
      C91="",
      IF(
        COUNTIFS($B$2:B91,B91,$E$2:E91,E91,$D$2:D91,D91)=1,
        INDEX([1]DB!$A:$A,MATCH($E91,[1]DB!$D:$D,0)),
        IF(
          COUNTIFS($B$2:B91,B91,$E$2:E91,E91,$D$2:D91,D91)=2,
          INDEX([1]DB!$B:$B,MATCH($E91,[1]DB!$D:$D,0)),
          INDEX([1]DB!$C:$C,MATCH($E91,[1]DB!$D:$D,0))
        )
      ),
      IF(
        COUNTIFS($C$2:C91,C91,$E$2:E91,E91,$D$2:D91,D91)=1,
        INDEX([1]DB!$A:$A,MATCH($E91,[1]DB!$D:$D,0)),
        IF(
          COUNTIFS($C$2:C91,C91,$E$2:E91,E91,$D$2:D91,D91)=2,
          INDEX([1]DB!$B:$B,MATCH($E91,[1]DB!$D:$D,0)),
          INDEX([1]DB!$C:$C,MATCH($E91,[1]DB!$D:$D,0))
        )
      )
    )
  ),
  0
)</f>
        <v>0</v>
      </c>
      <c r="N91" s="9">
        <f>IFERROR(
  IF(
    D91&lt;&gt;"Catherine",
    0,
    IF(
      C91="",
      IF(
        COUNTIFS($B$2:B91,B91,$E$2:E91,E91,$D$2:D91,D91)=1,
        INDEX([1]DB!$A:$A,MATCH($E91,[1]DB!$D:$D,0)),
        IF(
          COUNTIFS($B$2:B91,B91,$E$2:E91,E91,$D$2:D91,D91)=2,
          INDEX([1]DB!$B:$B,MATCH($E91,[1]DB!$D:$D,0)),
          INDEX([1]DB!$C:$C,MATCH($E91,[1]DB!$D:$D,0))
        )
      ),
      IF(
        COUNTIFS($C$2:C91,C91,$E$2:E91,E91,$D$2:D91,D91)=1,
        INDEX([1]DB!$A:$A,MATCH($E91,[1]DB!$D:$D,0)),
        IF(
          COUNTIFS($C$2:C91,C91,$E$2:E91,E91,$D$2:D91,D91)=2,
          INDEX([1]DB!$B:$B,MATCH($E91,[1]DB!$D:$D,0)),
          INDEX([1]DB!$C:$C,MATCH($E91,[1]DB!$D:$D,0))
        )
      )
    )
  ),
  0
)</f>
        <v>0</v>
      </c>
      <c r="O91" s="5" t="str">
        <f>IF(DAY(A91)&lt;=15,UPPER(LEFT(TEXT(A91,"mmmm"),1))&amp;RIGHT(TEXT(A91,"mmmm"),LEN(TEXT(A91,"mmmm"))-1),UPPER(LEFT(TEXT(DATE(YEAR(A91),MONTH(A91)+1,1),"mmmm"),1))&amp;RIGHT(TEXT(DATE(YEAR(A91),MONTH(A91)+1,1),"mmmm"),LEN(TEXT(DATE(YEAR(A91),MONTH(A91)+1,1),"mmmm"))-1))</f>
        <v>Janvier</v>
      </c>
      <c r="P91" s="6" t="str">
        <f ca="1">IF(AND(A91&lt;=TODAY(),F91&lt;&gt;""),"OK","NON")</f>
        <v>NON</v>
      </c>
    </row>
    <row r="92" spans="1:16">
      <c r="A92" s="4"/>
      <c r="B92" s="5"/>
      <c r="C92" s="5"/>
      <c r="D92" s="6"/>
      <c r="E92" s="6"/>
      <c r="F92" s="7"/>
      <c r="G92" s="8" cm="1">
        <f t="array" ref="G92">IFERROR(
  IF(D92&lt;&gt;"Cédric",
     0,
     SUMPRODUCT(
       (TRIM(SUBSTITUTE(UPPER($B$2:$B92),CHAR(160),""))=TRIM(SUBSTITUTE(UPPER(B92),CHAR(160),"")))*
       (TRIM(SUBSTITUTE(UPPER($C$2:$C92),CHAR(160),""))=TRIM(SUBSTITUTE(UPPER(C92),CHAR(160),"")))*
       (TRIM(SUBSTITUTE(UPPER($D$2:$D92),CHAR(160),""))=TRIM(SUBSTITUTE(UPPER(D92),CHAR(160),"")))*
       (TRIM(SUBSTITUTE(UPPER($E$2:$E92),CHAR(160),""))=TRIM(SUBSTITUTE(UPPER(E92),CHAR(160),"")))
     )
  ),
  0
)</f>
        <v>0</v>
      </c>
      <c r="H92" s="8" cm="1">
        <f t="array" ref="H92">IFERROR(
  IF(D92&lt;&gt;"Geoffroy",
     0,
     SUMPRODUCT(
       (TRIM(SUBSTITUTE(UPPER($B$2:$B92),CHAR(160),""))=TRIM(SUBSTITUTE(UPPER(B92),CHAR(160),"")))*
       (TRIM(SUBSTITUTE(UPPER($C$2:$C92),CHAR(160),""))=TRIM(SUBSTITUTE(UPPER(C92),CHAR(160),"")))*
       (TRIM(SUBSTITUTE(UPPER($D$2:$D92),CHAR(160),""))=TRIM(SUBSTITUTE(UPPER(D92),CHAR(160),"")))*
       (TRIM(SUBSTITUTE(UPPER($E$2:$E92),CHAR(160),""))=TRIM(SUBSTITUTE(UPPER(E92),CHAR(160),"")))
     )
  ),
  0
)</f>
        <v>0</v>
      </c>
      <c r="I92" s="8" cm="1">
        <f t="array" ref="I92">IFERROR(
  IF(D92&lt;&gt;"Tiphaine",
     0,
     SUMPRODUCT(
       (TRIM(SUBSTITUTE(UPPER($B$2:$B92),CHAR(160),""))=TRIM(SUBSTITUTE(UPPER(B92),CHAR(160),"")))*
       (TRIM(SUBSTITUTE(UPPER($C$2:$C92),CHAR(160),""))=TRIM(SUBSTITUTE(UPPER(C92),CHAR(160),"")))*
       (TRIM(SUBSTITUTE(UPPER($D$2:$D92),CHAR(160),""))=TRIM(SUBSTITUTE(UPPER(D92),CHAR(160),"")))*
       (TRIM(SUBSTITUTE(UPPER($E$2:$E92),CHAR(160),""))=TRIM(SUBSTITUTE(UPPER(E92),CHAR(160),"")))
     )
  ),
  0
)</f>
        <v>0</v>
      </c>
      <c r="J92" s="8" cm="1">
        <f t="array" ref="J92">IFERROR(
  IF(D92&lt;&gt;"Catherine",
     0,
     SUMPRODUCT(
       (TRIM(SUBSTITUTE(UPPER($B$2:$B92),CHAR(160),""))=TRIM(SUBSTITUTE(UPPER(B92),CHAR(160),"")))*
       (TRIM(SUBSTITUTE(UPPER($C$2:$C92),CHAR(160),""))=TRIM(SUBSTITUTE(UPPER(C92),CHAR(160),"")))*
       (TRIM(SUBSTITUTE(UPPER($D$2:$D92),CHAR(160),""))=TRIM(SUBSTITUTE(UPPER(D92),CHAR(160),"")))*
       (TRIM(SUBSTITUTE(UPPER($E$2:$E92),CHAR(160),""))=TRIM(SUBSTITUTE(UPPER(E92),CHAR(160),"")))
     )
  ),
  0
)</f>
        <v>0</v>
      </c>
      <c r="K92" s="9">
        <f>IFERROR(
  IF(
    D92&lt;&gt;"Cédric",
    0,
    IF(
      C92="",
      IF(
        COUNTIFS($B$2:B92,B92,$E$2:E92,E92,$D$2:D92,D92)=1,
        INDEX([1]DB!$A:$A,MATCH($E92,[1]DB!$D:$D,0)),
        IF(
          COUNTIFS($B$2:B92,B92,$E$2:E92,E92,$D$2:D92,D92)=2,
          INDEX([1]DB!$B:$B,MATCH($E92,[1]DB!$D:$D,0)),
          INDEX([1]DB!$C:$C,MATCH($E92,[1]DB!$D:$D,0))
        )
      ),
      IF(
        COUNTIFS($C$2:C92,C92,$E$2:E92,E92,$D$2:D92,D92)=1,
        INDEX([1]DB!$A:$A,MATCH($E92,[1]DB!$D:$D,0)),
        IF(
          COUNTIFS($C$2:C92,C92,$E$2:E92,E92,$D$2:D92,D92)=2,
          INDEX([1]DB!$B:$B,MATCH($E92,[1]DB!$D:$D,0)),
          INDEX([1]DB!$C:$C,MATCH($E92,[1]DB!$D:$D,0))
        )
      )
    )
  ),
  0
)</f>
        <v>0</v>
      </c>
      <c r="L92" s="9">
        <f>IFERROR(
  IF(
    D92&lt;&gt;"Geoffroy",
    0,
    IF(
      C92="",
      IF(
        COUNTIFS($B$2:B92,B92,$E$2:E92,E92,$D$2:D92,D92)=1,
        INDEX([1]DB!$A:$A,MATCH($E92,[1]DB!$D:$D,0)),
        IF(
          COUNTIFS($B$2:B92,B92,$E$2:E92,E92,$D$2:D92,D92)=2,
          INDEX([1]DB!$B:$B,MATCH($E92,[1]DB!$D:$D,0)),
          INDEX([1]DB!$C:$C,MATCH($E92,[1]DB!$D:$D,0))
        )
      ),
      IF(
        COUNTIFS($C$2:C92,C92,$E$2:E92,E92,$D$2:D92,D92)=1,
        INDEX([1]DB!$A:$A,MATCH($E92,[1]DB!$D:$D,0)),
        IF(
          COUNTIFS($C$2:C92,C92,$E$2:E92,E92,$D$2:D92,D92)=2,
          INDEX([1]DB!$B:$B,MATCH($E92,[1]DB!$D:$D,0)),
          INDEX([1]DB!$C:$C,MATCH($E92,[1]DB!$D:$D,0))
        )
      )
    )
  ),
  0
)</f>
        <v>0</v>
      </c>
      <c r="M92" s="9">
        <f>IFERROR(
  IF(
    D92&lt;&gt;"Tiphaine",
    0,
    IF(
      C92="",
      IF(
        COUNTIFS($B$2:B92,B92,$E$2:E92,E92,$D$2:D92,D92)=1,
        INDEX([1]DB!$A:$A,MATCH($E92,[1]DB!$D:$D,0)),
        IF(
          COUNTIFS($B$2:B92,B92,$E$2:E92,E92,$D$2:D92,D92)=2,
          INDEX([1]DB!$B:$B,MATCH($E92,[1]DB!$D:$D,0)),
          INDEX([1]DB!$C:$C,MATCH($E92,[1]DB!$D:$D,0))
        )
      ),
      IF(
        COUNTIFS($C$2:C92,C92,$E$2:E92,E92,$D$2:D92,D92)=1,
        INDEX([1]DB!$A:$A,MATCH($E92,[1]DB!$D:$D,0)),
        IF(
          COUNTIFS($C$2:C92,C92,$E$2:E92,E92,$D$2:D92,D92)=2,
          INDEX([1]DB!$B:$B,MATCH($E92,[1]DB!$D:$D,0)),
          INDEX([1]DB!$C:$C,MATCH($E92,[1]DB!$D:$D,0))
        )
      )
    )
  ),
  0
)</f>
        <v>0</v>
      </c>
      <c r="N92" s="9">
        <f>IFERROR(
  IF(
    D92&lt;&gt;"Catherine",
    0,
    IF(
      C92="",
      IF(
        COUNTIFS($B$2:B92,B92,$E$2:E92,E92,$D$2:D92,D92)=1,
        INDEX([1]DB!$A:$A,MATCH($E92,[1]DB!$D:$D,0)),
        IF(
          COUNTIFS($B$2:B92,B92,$E$2:E92,E92,$D$2:D92,D92)=2,
          INDEX([1]DB!$B:$B,MATCH($E92,[1]DB!$D:$D,0)),
          INDEX([1]DB!$C:$C,MATCH($E92,[1]DB!$D:$D,0))
        )
      ),
      IF(
        COUNTIFS($C$2:C92,C92,$E$2:E92,E92,$D$2:D92,D92)=1,
        INDEX([1]DB!$A:$A,MATCH($E92,[1]DB!$D:$D,0)),
        IF(
          COUNTIFS($C$2:C92,C92,$E$2:E92,E92,$D$2:D92,D92)=2,
          INDEX([1]DB!$B:$B,MATCH($E92,[1]DB!$D:$D,0)),
          INDEX([1]DB!$C:$C,MATCH($E92,[1]DB!$D:$D,0))
        )
      )
    )
  ),
  0
)</f>
        <v>0</v>
      </c>
      <c r="O92" s="5" t="str">
        <f>IF(DAY(A92)&lt;=15,UPPER(LEFT(TEXT(A92,"mmmm"),1))&amp;RIGHT(TEXT(A92,"mmmm"),LEN(TEXT(A92,"mmmm"))-1),UPPER(LEFT(TEXT(DATE(YEAR(A92),MONTH(A92)+1,1),"mmmm"),1))&amp;RIGHT(TEXT(DATE(YEAR(A92),MONTH(A92)+1,1),"mmmm"),LEN(TEXT(DATE(YEAR(A92),MONTH(A92)+1,1),"mmmm"))-1))</f>
        <v>Janvier</v>
      </c>
      <c r="P92" s="6" t="str">
        <f ca="1">IF(AND(A92&lt;=TODAY(),F92&lt;&gt;""),"OK","NON")</f>
        <v>NON</v>
      </c>
    </row>
    <row r="93" spans="1:16">
      <c r="A93" s="4"/>
      <c r="B93" s="5"/>
      <c r="C93" s="5"/>
      <c r="D93" s="6"/>
      <c r="E93" s="6"/>
      <c r="F93" s="7"/>
      <c r="G93" s="8" cm="1">
        <f t="array" ref="G93">IFERROR(
  IF(D93&lt;&gt;"Cédric",
     0,
     SUMPRODUCT(
       (TRIM(SUBSTITUTE(UPPER($B$2:$B93),CHAR(160),""))=TRIM(SUBSTITUTE(UPPER(B93),CHAR(160),"")))*
       (TRIM(SUBSTITUTE(UPPER($C$2:$C93),CHAR(160),""))=TRIM(SUBSTITUTE(UPPER(C93),CHAR(160),"")))*
       (TRIM(SUBSTITUTE(UPPER($D$2:$D93),CHAR(160),""))=TRIM(SUBSTITUTE(UPPER(D93),CHAR(160),"")))*
       (TRIM(SUBSTITUTE(UPPER($E$2:$E93),CHAR(160),""))=TRIM(SUBSTITUTE(UPPER(E93),CHAR(160),"")))
     )
  ),
  0
)</f>
        <v>0</v>
      </c>
      <c r="H93" s="8" cm="1">
        <f t="array" ref="H93">IFERROR(
  IF(D93&lt;&gt;"Geoffroy",
     0,
     SUMPRODUCT(
       (TRIM(SUBSTITUTE(UPPER($B$2:$B93),CHAR(160),""))=TRIM(SUBSTITUTE(UPPER(B93),CHAR(160),"")))*
       (TRIM(SUBSTITUTE(UPPER($C$2:$C93),CHAR(160),""))=TRIM(SUBSTITUTE(UPPER(C93),CHAR(160),"")))*
       (TRIM(SUBSTITUTE(UPPER($D$2:$D93),CHAR(160),""))=TRIM(SUBSTITUTE(UPPER(D93),CHAR(160),"")))*
       (TRIM(SUBSTITUTE(UPPER($E$2:$E93),CHAR(160),""))=TRIM(SUBSTITUTE(UPPER(E93),CHAR(160),"")))
     )
  ),
  0
)</f>
        <v>0</v>
      </c>
      <c r="I93" s="8" cm="1">
        <f t="array" ref="I93">IFERROR(
  IF(D93&lt;&gt;"Tiphaine",
     0,
     SUMPRODUCT(
       (TRIM(SUBSTITUTE(UPPER($B$2:$B93),CHAR(160),""))=TRIM(SUBSTITUTE(UPPER(B93),CHAR(160),"")))*
       (TRIM(SUBSTITUTE(UPPER($C$2:$C93),CHAR(160),""))=TRIM(SUBSTITUTE(UPPER(C93),CHAR(160),"")))*
       (TRIM(SUBSTITUTE(UPPER($D$2:$D93),CHAR(160),""))=TRIM(SUBSTITUTE(UPPER(D93),CHAR(160),"")))*
       (TRIM(SUBSTITUTE(UPPER($E$2:$E93),CHAR(160),""))=TRIM(SUBSTITUTE(UPPER(E93),CHAR(160),"")))
     )
  ),
  0
)</f>
        <v>0</v>
      </c>
      <c r="J93" s="8" cm="1">
        <f t="array" ref="J93">IFERROR(
  IF(D93&lt;&gt;"Catherine",
     0,
     SUMPRODUCT(
       (TRIM(SUBSTITUTE(UPPER($B$2:$B93),CHAR(160),""))=TRIM(SUBSTITUTE(UPPER(B93),CHAR(160),"")))*
       (TRIM(SUBSTITUTE(UPPER($C$2:$C93),CHAR(160),""))=TRIM(SUBSTITUTE(UPPER(C93),CHAR(160),"")))*
       (TRIM(SUBSTITUTE(UPPER($D$2:$D93),CHAR(160),""))=TRIM(SUBSTITUTE(UPPER(D93),CHAR(160),"")))*
       (TRIM(SUBSTITUTE(UPPER($E$2:$E93),CHAR(160),""))=TRIM(SUBSTITUTE(UPPER(E93),CHAR(160),"")))
     )
  ),
  0
)</f>
        <v>0</v>
      </c>
      <c r="K93" s="9">
        <f>IFERROR(
  IF(
    D93&lt;&gt;"Cédric",
    0,
    IF(
      C93="",
      IF(
        COUNTIFS($B$2:B93,B93,$E$2:E93,E93,$D$2:D93,D93)=1,
        INDEX([1]DB!$A:$A,MATCH($E93,[1]DB!$D:$D,0)),
        IF(
          COUNTIFS($B$2:B93,B93,$E$2:E93,E93,$D$2:D93,D93)=2,
          INDEX([1]DB!$B:$B,MATCH($E93,[1]DB!$D:$D,0)),
          INDEX([1]DB!$C:$C,MATCH($E93,[1]DB!$D:$D,0))
        )
      ),
      IF(
        COUNTIFS($C$2:C93,C93,$E$2:E93,E93,$D$2:D93,D93)=1,
        INDEX([1]DB!$A:$A,MATCH($E93,[1]DB!$D:$D,0)),
        IF(
          COUNTIFS($C$2:C93,C93,$E$2:E93,E93,$D$2:D93,D93)=2,
          INDEX([1]DB!$B:$B,MATCH($E93,[1]DB!$D:$D,0)),
          INDEX([1]DB!$C:$C,MATCH($E93,[1]DB!$D:$D,0))
        )
      )
    )
  ),
  0
)</f>
        <v>0</v>
      </c>
      <c r="L93" s="9">
        <f>IFERROR(
  IF(
    D93&lt;&gt;"Geoffroy",
    0,
    IF(
      C93="",
      IF(
        COUNTIFS($B$2:B93,B93,$E$2:E93,E93,$D$2:D93,D93)=1,
        INDEX([1]DB!$A:$A,MATCH($E93,[1]DB!$D:$D,0)),
        IF(
          COUNTIFS($B$2:B93,B93,$E$2:E93,E93,$D$2:D93,D93)=2,
          INDEX([1]DB!$B:$B,MATCH($E93,[1]DB!$D:$D,0)),
          INDEX([1]DB!$C:$C,MATCH($E93,[1]DB!$D:$D,0))
        )
      ),
      IF(
        COUNTIFS($C$2:C93,C93,$E$2:E93,E93,$D$2:D93,D93)=1,
        INDEX([1]DB!$A:$A,MATCH($E93,[1]DB!$D:$D,0)),
        IF(
          COUNTIFS($C$2:C93,C93,$E$2:E93,E93,$D$2:D93,D93)=2,
          INDEX([1]DB!$B:$B,MATCH($E93,[1]DB!$D:$D,0)),
          INDEX([1]DB!$C:$C,MATCH($E93,[1]DB!$D:$D,0))
        )
      )
    )
  ),
  0
)</f>
        <v>0</v>
      </c>
      <c r="M93" s="9">
        <f>IFERROR(
  IF(
    D93&lt;&gt;"Tiphaine",
    0,
    IF(
      C93="",
      IF(
        COUNTIFS($B$2:B93,B93,$E$2:E93,E93,$D$2:D93,D93)=1,
        INDEX([1]DB!$A:$A,MATCH($E93,[1]DB!$D:$D,0)),
        IF(
          COUNTIFS($B$2:B93,B93,$E$2:E93,E93,$D$2:D93,D93)=2,
          INDEX([1]DB!$B:$B,MATCH($E93,[1]DB!$D:$D,0)),
          INDEX([1]DB!$C:$C,MATCH($E93,[1]DB!$D:$D,0))
        )
      ),
      IF(
        COUNTIFS($C$2:C93,C93,$E$2:E93,E93,$D$2:D93,D93)=1,
        INDEX([1]DB!$A:$A,MATCH($E93,[1]DB!$D:$D,0)),
        IF(
          COUNTIFS($C$2:C93,C93,$E$2:E93,E93,$D$2:D93,D93)=2,
          INDEX([1]DB!$B:$B,MATCH($E93,[1]DB!$D:$D,0)),
          INDEX([1]DB!$C:$C,MATCH($E93,[1]DB!$D:$D,0))
        )
      )
    )
  ),
  0
)</f>
        <v>0</v>
      </c>
      <c r="N93" s="9">
        <f>IFERROR(
  IF(
    D93&lt;&gt;"Catherine",
    0,
    IF(
      C93="",
      IF(
        COUNTIFS($B$2:B93,B93,$E$2:E93,E93,$D$2:D93,D93)=1,
        INDEX([1]DB!$A:$A,MATCH($E93,[1]DB!$D:$D,0)),
        IF(
          COUNTIFS($B$2:B93,B93,$E$2:E93,E93,$D$2:D93,D93)=2,
          INDEX([1]DB!$B:$B,MATCH($E93,[1]DB!$D:$D,0)),
          INDEX([1]DB!$C:$C,MATCH($E93,[1]DB!$D:$D,0))
        )
      ),
      IF(
        COUNTIFS($C$2:C93,C93,$E$2:E93,E93,$D$2:D93,D93)=1,
        INDEX([1]DB!$A:$A,MATCH($E93,[1]DB!$D:$D,0)),
        IF(
          COUNTIFS($C$2:C93,C93,$E$2:E93,E93,$D$2:D93,D93)=2,
          INDEX([1]DB!$B:$B,MATCH($E93,[1]DB!$D:$D,0)),
          INDEX([1]DB!$C:$C,MATCH($E93,[1]DB!$D:$D,0))
        )
      )
    )
  ),
  0
)</f>
        <v>0</v>
      </c>
      <c r="O93" s="5" t="str">
        <f>IF(DAY(A93)&lt;=15,UPPER(LEFT(TEXT(A93,"mmmm"),1))&amp;RIGHT(TEXT(A93,"mmmm"),LEN(TEXT(A93,"mmmm"))-1),UPPER(LEFT(TEXT(DATE(YEAR(A93),MONTH(A93)+1,1),"mmmm"),1))&amp;RIGHT(TEXT(DATE(YEAR(A93),MONTH(A93)+1,1),"mmmm"),LEN(TEXT(DATE(YEAR(A93),MONTH(A93)+1,1),"mmmm"))-1))</f>
        <v>Janvier</v>
      </c>
      <c r="P93" s="6" t="str">
        <f ca="1">IF(AND(A93&lt;=TODAY(),F93&lt;&gt;""),"OK","NON")</f>
        <v>NON</v>
      </c>
    </row>
    <row r="94" spans="1:16">
      <c r="A94" s="4"/>
      <c r="B94" s="5"/>
      <c r="C94" s="5"/>
      <c r="D94" s="6"/>
      <c r="E94" s="6"/>
      <c r="F94" s="7"/>
      <c r="G94" s="8" cm="1">
        <f t="array" ref="G94">IFERROR(
  IF(D94&lt;&gt;"Cédric",
     0,
     SUMPRODUCT(
       (TRIM(SUBSTITUTE(UPPER($B$2:$B94),CHAR(160),""))=TRIM(SUBSTITUTE(UPPER(B94),CHAR(160),"")))*
       (TRIM(SUBSTITUTE(UPPER($C$2:$C94),CHAR(160),""))=TRIM(SUBSTITUTE(UPPER(C94),CHAR(160),"")))*
       (TRIM(SUBSTITUTE(UPPER($D$2:$D94),CHAR(160),""))=TRIM(SUBSTITUTE(UPPER(D94),CHAR(160),"")))*
       (TRIM(SUBSTITUTE(UPPER($E$2:$E94),CHAR(160),""))=TRIM(SUBSTITUTE(UPPER(E94),CHAR(160),"")))
     )
  ),
  0
)</f>
        <v>0</v>
      </c>
      <c r="H94" s="8" cm="1">
        <f t="array" ref="H94">IFERROR(
  IF(D94&lt;&gt;"Geoffroy",
     0,
     SUMPRODUCT(
       (TRIM(SUBSTITUTE(UPPER($B$2:$B94),CHAR(160),""))=TRIM(SUBSTITUTE(UPPER(B94),CHAR(160),"")))*
       (TRIM(SUBSTITUTE(UPPER($C$2:$C94),CHAR(160),""))=TRIM(SUBSTITUTE(UPPER(C94),CHAR(160),"")))*
       (TRIM(SUBSTITUTE(UPPER($D$2:$D94),CHAR(160),""))=TRIM(SUBSTITUTE(UPPER(D94),CHAR(160),"")))*
       (TRIM(SUBSTITUTE(UPPER($E$2:$E94),CHAR(160),""))=TRIM(SUBSTITUTE(UPPER(E94),CHAR(160),"")))
     )
  ),
  0
)</f>
        <v>0</v>
      </c>
      <c r="I94" s="8" cm="1">
        <f t="array" ref="I94">IFERROR(
  IF(D94&lt;&gt;"Tiphaine",
     0,
     SUMPRODUCT(
       (TRIM(SUBSTITUTE(UPPER($B$2:$B94),CHAR(160),""))=TRIM(SUBSTITUTE(UPPER(B94),CHAR(160),"")))*
       (TRIM(SUBSTITUTE(UPPER($C$2:$C94),CHAR(160),""))=TRIM(SUBSTITUTE(UPPER(C94),CHAR(160),"")))*
       (TRIM(SUBSTITUTE(UPPER($D$2:$D94),CHAR(160),""))=TRIM(SUBSTITUTE(UPPER(D94),CHAR(160),"")))*
       (TRIM(SUBSTITUTE(UPPER($E$2:$E94),CHAR(160),""))=TRIM(SUBSTITUTE(UPPER(E94),CHAR(160),"")))
     )
  ),
  0
)</f>
        <v>0</v>
      </c>
      <c r="J94" s="8" cm="1">
        <f t="array" ref="J94">IFERROR(
  IF(D94&lt;&gt;"Catherine",
     0,
     SUMPRODUCT(
       (TRIM(SUBSTITUTE(UPPER($B$2:$B94),CHAR(160),""))=TRIM(SUBSTITUTE(UPPER(B94),CHAR(160),"")))*
       (TRIM(SUBSTITUTE(UPPER($C$2:$C94),CHAR(160),""))=TRIM(SUBSTITUTE(UPPER(C94),CHAR(160),"")))*
       (TRIM(SUBSTITUTE(UPPER($D$2:$D94),CHAR(160),""))=TRIM(SUBSTITUTE(UPPER(D94),CHAR(160),"")))*
       (TRIM(SUBSTITUTE(UPPER($E$2:$E94),CHAR(160),""))=TRIM(SUBSTITUTE(UPPER(E94),CHAR(160),"")))
     )
  ),
  0
)</f>
        <v>0</v>
      </c>
      <c r="K94" s="9">
        <f>IFERROR(
  IF(
    D94&lt;&gt;"Cédric",
    0,
    IF(
      C94="",
      IF(
        COUNTIFS($B$2:B94,B94,$E$2:E94,E94,$D$2:D94,D94)=1,
        INDEX([1]DB!$A:$A,MATCH($E94,[1]DB!$D:$D,0)),
        IF(
          COUNTIFS($B$2:B94,B94,$E$2:E94,E94,$D$2:D94,D94)=2,
          INDEX([1]DB!$B:$B,MATCH($E94,[1]DB!$D:$D,0)),
          INDEX([1]DB!$C:$C,MATCH($E94,[1]DB!$D:$D,0))
        )
      ),
      IF(
        COUNTIFS($C$2:C94,C94,$E$2:E94,E94,$D$2:D94,D94)=1,
        INDEX([1]DB!$A:$A,MATCH($E94,[1]DB!$D:$D,0)),
        IF(
          COUNTIFS($C$2:C94,C94,$E$2:E94,E94,$D$2:D94,D94)=2,
          INDEX([1]DB!$B:$B,MATCH($E94,[1]DB!$D:$D,0)),
          INDEX([1]DB!$C:$C,MATCH($E94,[1]DB!$D:$D,0))
        )
      )
    )
  ),
  0
)</f>
        <v>0</v>
      </c>
      <c r="L94" s="9">
        <f>IFERROR(
  IF(
    D94&lt;&gt;"Geoffroy",
    0,
    IF(
      C94="",
      IF(
        COUNTIFS($B$2:B94,B94,$E$2:E94,E94,$D$2:D94,D94)=1,
        INDEX([1]DB!$A:$A,MATCH($E94,[1]DB!$D:$D,0)),
        IF(
          COUNTIFS($B$2:B94,B94,$E$2:E94,E94,$D$2:D94,D94)=2,
          INDEX([1]DB!$B:$B,MATCH($E94,[1]DB!$D:$D,0)),
          INDEX([1]DB!$C:$C,MATCH($E94,[1]DB!$D:$D,0))
        )
      ),
      IF(
        COUNTIFS($C$2:C94,C94,$E$2:E94,E94,$D$2:D94,D94)=1,
        INDEX([1]DB!$A:$A,MATCH($E94,[1]DB!$D:$D,0)),
        IF(
          COUNTIFS($C$2:C94,C94,$E$2:E94,E94,$D$2:D94,D94)=2,
          INDEX([1]DB!$B:$B,MATCH($E94,[1]DB!$D:$D,0)),
          INDEX([1]DB!$C:$C,MATCH($E94,[1]DB!$D:$D,0))
        )
      )
    )
  ),
  0
)</f>
        <v>0</v>
      </c>
      <c r="M94" s="9">
        <f>IFERROR(
  IF(
    D94&lt;&gt;"Tiphaine",
    0,
    IF(
      C94="",
      IF(
        COUNTIFS($B$2:B94,B94,$E$2:E94,E94,$D$2:D94,D94)=1,
        INDEX([1]DB!$A:$A,MATCH($E94,[1]DB!$D:$D,0)),
        IF(
          COUNTIFS($B$2:B94,B94,$E$2:E94,E94,$D$2:D94,D94)=2,
          INDEX([1]DB!$B:$B,MATCH($E94,[1]DB!$D:$D,0)),
          INDEX([1]DB!$C:$C,MATCH($E94,[1]DB!$D:$D,0))
        )
      ),
      IF(
        COUNTIFS($C$2:C94,C94,$E$2:E94,E94,$D$2:D94,D94)=1,
        INDEX([1]DB!$A:$A,MATCH($E94,[1]DB!$D:$D,0)),
        IF(
          COUNTIFS($C$2:C94,C94,$E$2:E94,E94,$D$2:D94,D94)=2,
          INDEX([1]DB!$B:$B,MATCH($E94,[1]DB!$D:$D,0)),
          INDEX([1]DB!$C:$C,MATCH($E94,[1]DB!$D:$D,0))
        )
      )
    )
  ),
  0
)</f>
        <v>0</v>
      </c>
      <c r="N94" s="9">
        <f>IFERROR(
  IF(
    D94&lt;&gt;"Catherine",
    0,
    IF(
      C94="",
      IF(
        COUNTIFS($B$2:B94,B94,$E$2:E94,E94,$D$2:D94,D94)=1,
        INDEX([1]DB!$A:$A,MATCH($E94,[1]DB!$D:$D,0)),
        IF(
          COUNTIFS($B$2:B94,B94,$E$2:E94,E94,$D$2:D94,D94)=2,
          INDEX([1]DB!$B:$B,MATCH($E94,[1]DB!$D:$D,0)),
          INDEX([1]DB!$C:$C,MATCH($E94,[1]DB!$D:$D,0))
        )
      ),
      IF(
        COUNTIFS($C$2:C94,C94,$E$2:E94,E94,$D$2:D94,D94)=1,
        INDEX([1]DB!$A:$A,MATCH($E94,[1]DB!$D:$D,0)),
        IF(
          COUNTIFS($C$2:C94,C94,$E$2:E94,E94,$D$2:D94,D94)=2,
          INDEX([1]DB!$B:$B,MATCH($E94,[1]DB!$D:$D,0)),
          INDEX([1]DB!$C:$C,MATCH($E94,[1]DB!$D:$D,0))
        )
      )
    )
  ),
  0
)</f>
        <v>0</v>
      </c>
      <c r="O94" s="5" t="str">
        <f>IF(DAY(A94)&lt;=15,UPPER(LEFT(TEXT(A94,"mmmm"),1))&amp;RIGHT(TEXT(A94,"mmmm"),LEN(TEXT(A94,"mmmm"))-1),UPPER(LEFT(TEXT(DATE(YEAR(A94),MONTH(A94)+1,1),"mmmm"),1))&amp;RIGHT(TEXT(DATE(YEAR(A94),MONTH(A94)+1,1),"mmmm"),LEN(TEXT(DATE(YEAR(A94),MONTH(A94)+1,1),"mmmm"))-1))</f>
        <v>Janvier</v>
      </c>
      <c r="P94" s="6" t="str">
        <f ca="1">IF(AND(A94&lt;=TODAY(),F94&lt;&gt;""),"OK","NON")</f>
        <v>NON</v>
      </c>
    </row>
    <row r="95" spans="1:16">
      <c r="A95" s="4"/>
      <c r="B95" s="5"/>
      <c r="C95" s="5"/>
      <c r="D95" s="6"/>
      <c r="E95" s="6"/>
      <c r="F95" s="7"/>
      <c r="G95" s="8" cm="1">
        <f t="array" ref="G95">IFERROR(
  IF(D95&lt;&gt;"Cédric",
     0,
     SUMPRODUCT(
       (TRIM(SUBSTITUTE(UPPER($B$2:$B95),CHAR(160),""))=TRIM(SUBSTITUTE(UPPER(B95),CHAR(160),"")))*
       (TRIM(SUBSTITUTE(UPPER($C$2:$C95),CHAR(160),""))=TRIM(SUBSTITUTE(UPPER(C95),CHAR(160),"")))*
       (TRIM(SUBSTITUTE(UPPER($D$2:$D95),CHAR(160),""))=TRIM(SUBSTITUTE(UPPER(D95),CHAR(160),"")))*
       (TRIM(SUBSTITUTE(UPPER($E$2:$E95),CHAR(160),""))=TRIM(SUBSTITUTE(UPPER(E95),CHAR(160),"")))
     )
  ),
  0
)</f>
        <v>0</v>
      </c>
      <c r="H95" s="8" cm="1">
        <f t="array" ref="H95">IFERROR(
  IF(D95&lt;&gt;"Geoffroy",
     0,
     SUMPRODUCT(
       (TRIM(SUBSTITUTE(UPPER($B$2:$B95),CHAR(160),""))=TRIM(SUBSTITUTE(UPPER(B95),CHAR(160),"")))*
       (TRIM(SUBSTITUTE(UPPER($C$2:$C95),CHAR(160),""))=TRIM(SUBSTITUTE(UPPER(C95),CHAR(160),"")))*
       (TRIM(SUBSTITUTE(UPPER($D$2:$D95),CHAR(160),""))=TRIM(SUBSTITUTE(UPPER(D95),CHAR(160),"")))*
       (TRIM(SUBSTITUTE(UPPER($E$2:$E95),CHAR(160),""))=TRIM(SUBSTITUTE(UPPER(E95),CHAR(160),"")))
     )
  ),
  0
)</f>
        <v>0</v>
      </c>
      <c r="I95" s="8" cm="1">
        <f t="array" ref="I95">IFERROR(
  IF(D95&lt;&gt;"Tiphaine",
     0,
     SUMPRODUCT(
       (TRIM(SUBSTITUTE(UPPER($B$2:$B95),CHAR(160),""))=TRIM(SUBSTITUTE(UPPER(B95),CHAR(160),"")))*
       (TRIM(SUBSTITUTE(UPPER($C$2:$C95),CHAR(160),""))=TRIM(SUBSTITUTE(UPPER(C95),CHAR(160),"")))*
       (TRIM(SUBSTITUTE(UPPER($D$2:$D95),CHAR(160),""))=TRIM(SUBSTITUTE(UPPER(D95),CHAR(160),"")))*
       (TRIM(SUBSTITUTE(UPPER($E$2:$E95),CHAR(160),""))=TRIM(SUBSTITUTE(UPPER(E95),CHAR(160),"")))
     )
  ),
  0
)</f>
        <v>0</v>
      </c>
      <c r="J95" s="8" cm="1">
        <f t="array" ref="J95">IFERROR(
  IF(D95&lt;&gt;"Catherine",
     0,
     SUMPRODUCT(
       (TRIM(SUBSTITUTE(UPPER($B$2:$B95),CHAR(160),""))=TRIM(SUBSTITUTE(UPPER(B95),CHAR(160),"")))*
       (TRIM(SUBSTITUTE(UPPER($C$2:$C95),CHAR(160),""))=TRIM(SUBSTITUTE(UPPER(C95),CHAR(160),"")))*
       (TRIM(SUBSTITUTE(UPPER($D$2:$D95),CHAR(160),""))=TRIM(SUBSTITUTE(UPPER(D95),CHAR(160),"")))*
       (TRIM(SUBSTITUTE(UPPER($E$2:$E95),CHAR(160),""))=TRIM(SUBSTITUTE(UPPER(E95),CHAR(160),"")))
     )
  ),
  0
)</f>
        <v>0</v>
      </c>
      <c r="K95" s="9">
        <f>IFERROR(
  IF(
    D95&lt;&gt;"Cédric",
    0,
    IF(
      C95="",
      IF(
        COUNTIFS($B$2:B95,B95,$E$2:E95,E95,$D$2:D95,D95)=1,
        INDEX([1]DB!$A:$A,MATCH($E95,[1]DB!$D:$D,0)),
        IF(
          COUNTIFS($B$2:B95,B95,$E$2:E95,E95,$D$2:D95,D95)=2,
          INDEX([1]DB!$B:$B,MATCH($E95,[1]DB!$D:$D,0)),
          INDEX([1]DB!$C:$C,MATCH($E95,[1]DB!$D:$D,0))
        )
      ),
      IF(
        COUNTIFS($C$2:C95,C95,$E$2:E95,E95,$D$2:D95,D95)=1,
        INDEX([1]DB!$A:$A,MATCH($E95,[1]DB!$D:$D,0)),
        IF(
          COUNTIFS($C$2:C95,C95,$E$2:E95,E95,$D$2:D95,D95)=2,
          INDEX([1]DB!$B:$B,MATCH($E95,[1]DB!$D:$D,0)),
          INDEX([1]DB!$C:$C,MATCH($E95,[1]DB!$D:$D,0))
        )
      )
    )
  ),
  0
)</f>
        <v>0</v>
      </c>
      <c r="L95" s="9">
        <f>IFERROR(
  IF(
    D95&lt;&gt;"Geoffroy",
    0,
    IF(
      C95="",
      IF(
        COUNTIFS($B$2:B95,B95,$E$2:E95,E95,$D$2:D95,D95)=1,
        INDEX([1]DB!$A:$A,MATCH($E95,[1]DB!$D:$D,0)),
        IF(
          COUNTIFS($B$2:B95,B95,$E$2:E95,E95,$D$2:D95,D95)=2,
          INDEX([1]DB!$B:$B,MATCH($E95,[1]DB!$D:$D,0)),
          INDEX([1]DB!$C:$C,MATCH($E95,[1]DB!$D:$D,0))
        )
      ),
      IF(
        COUNTIFS($C$2:C95,C95,$E$2:E95,E95,$D$2:D95,D95)=1,
        INDEX([1]DB!$A:$A,MATCH($E95,[1]DB!$D:$D,0)),
        IF(
          COUNTIFS($C$2:C95,C95,$E$2:E95,E95,$D$2:D95,D95)=2,
          INDEX([1]DB!$B:$B,MATCH($E95,[1]DB!$D:$D,0)),
          INDEX([1]DB!$C:$C,MATCH($E95,[1]DB!$D:$D,0))
        )
      )
    )
  ),
  0
)</f>
        <v>0</v>
      </c>
      <c r="M95" s="9">
        <f>IFERROR(
  IF(
    D95&lt;&gt;"Tiphaine",
    0,
    IF(
      C95="",
      IF(
        COUNTIFS($B$2:B95,B95,$E$2:E95,E95,$D$2:D95,D95)=1,
        INDEX([1]DB!$A:$A,MATCH($E95,[1]DB!$D:$D,0)),
        IF(
          COUNTIFS($B$2:B95,B95,$E$2:E95,E95,$D$2:D95,D95)=2,
          INDEX([1]DB!$B:$B,MATCH($E95,[1]DB!$D:$D,0)),
          INDEX([1]DB!$C:$C,MATCH($E95,[1]DB!$D:$D,0))
        )
      ),
      IF(
        COUNTIFS($C$2:C95,C95,$E$2:E95,E95,$D$2:D95,D95)=1,
        INDEX([1]DB!$A:$A,MATCH($E95,[1]DB!$D:$D,0)),
        IF(
          COUNTIFS($C$2:C95,C95,$E$2:E95,E95,$D$2:D95,D95)=2,
          INDEX([1]DB!$B:$B,MATCH($E95,[1]DB!$D:$D,0)),
          INDEX([1]DB!$C:$C,MATCH($E95,[1]DB!$D:$D,0))
        )
      )
    )
  ),
  0
)</f>
        <v>0</v>
      </c>
      <c r="N95" s="9">
        <f>IFERROR(
  IF(
    D95&lt;&gt;"Catherine",
    0,
    IF(
      C95="",
      IF(
        COUNTIFS($B$2:B95,B95,$E$2:E95,E95,$D$2:D95,D95)=1,
        INDEX([1]DB!$A:$A,MATCH($E95,[1]DB!$D:$D,0)),
        IF(
          COUNTIFS($B$2:B95,B95,$E$2:E95,E95,$D$2:D95,D95)=2,
          INDEX([1]DB!$B:$B,MATCH($E95,[1]DB!$D:$D,0)),
          INDEX([1]DB!$C:$C,MATCH($E95,[1]DB!$D:$D,0))
        )
      ),
      IF(
        COUNTIFS($C$2:C95,C95,$E$2:E95,E95,$D$2:D95,D95)=1,
        INDEX([1]DB!$A:$A,MATCH($E95,[1]DB!$D:$D,0)),
        IF(
          COUNTIFS($C$2:C95,C95,$E$2:E95,E95,$D$2:D95,D95)=2,
          INDEX([1]DB!$B:$B,MATCH($E95,[1]DB!$D:$D,0)),
          INDEX([1]DB!$C:$C,MATCH($E95,[1]DB!$D:$D,0))
        )
      )
    )
  ),
  0
)</f>
        <v>0</v>
      </c>
      <c r="O95" s="5" t="str">
        <f>IF(DAY(A95)&lt;=15,UPPER(LEFT(TEXT(A95,"mmmm"),1))&amp;RIGHT(TEXT(A95,"mmmm"),LEN(TEXT(A95,"mmmm"))-1),UPPER(LEFT(TEXT(DATE(YEAR(A95),MONTH(A95)+1,1),"mmmm"),1))&amp;RIGHT(TEXT(DATE(YEAR(A95),MONTH(A95)+1,1),"mmmm"),LEN(TEXT(DATE(YEAR(A95),MONTH(A95)+1,1),"mmmm"))-1))</f>
        <v>Janvier</v>
      </c>
      <c r="P95" s="6" t="str">
        <f ca="1">IF(AND(A95&lt;=TODAY(),F95&lt;&gt;""),"OK","NON")</f>
        <v>NON</v>
      </c>
    </row>
    <row r="96" spans="1:16">
      <c r="A96" s="4"/>
      <c r="B96" s="5"/>
      <c r="C96" s="5"/>
      <c r="D96" s="6"/>
      <c r="E96" s="6"/>
      <c r="F96" s="7"/>
      <c r="G96" s="8" cm="1">
        <f t="array" ref="G96">IFERROR(
  IF(D96&lt;&gt;"Cédric",
     0,
     SUMPRODUCT(
       (TRIM(SUBSTITUTE(UPPER($B$2:$B96),CHAR(160),""))=TRIM(SUBSTITUTE(UPPER(B96),CHAR(160),"")))*
       (TRIM(SUBSTITUTE(UPPER($C$2:$C96),CHAR(160),""))=TRIM(SUBSTITUTE(UPPER(C96),CHAR(160),"")))*
       (TRIM(SUBSTITUTE(UPPER($D$2:$D96),CHAR(160),""))=TRIM(SUBSTITUTE(UPPER(D96),CHAR(160),"")))*
       (TRIM(SUBSTITUTE(UPPER($E$2:$E96),CHAR(160),""))=TRIM(SUBSTITUTE(UPPER(E96),CHAR(160),"")))
     )
  ),
  0
)</f>
        <v>0</v>
      </c>
      <c r="H96" s="8" cm="1">
        <f t="array" ref="H96">IFERROR(
  IF(D96&lt;&gt;"Geoffroy",
     0,
     SUMPRODUCT(
       (TRIM(SUBSTITUTE(UPPER($B$2:$B96),CHAR(160),""))=TRIM(SUBSTITUTE(UPPER(B96),CHAR(160),"")))*
       (TRIM(SUBSTITUTE(UPPER($C$2:$C96),CHAR(160),""))=TRIM(SUBSTITUTE(UPPER(C96),CHAR(160),"")))*
       (TRIM(SUBSTITUTE(UPPER($D$2:$D96),CHAR(160),""))=TRIM(SUBSTITUTE(UPPER(D96),CHAR(160),"")))*
       (TRIM(SUBSTITUTE(UPPER($E$2:$E96),CHAR(160),""))=TRIM(SUBSTITUTE(UPPER(E96),CHAR(160),"")))
     )
  ),
  0
)</f>
        <v>0</v>
      </c>
      <c r="I96" s="8" cm="1">
        <f t="array" ref="I96">IFERROR(
  IF(D96&lt;&gt;"Tiphaine",
     0,
     SUMPRODUCT(
       (TRIM(SUBSTITUTE(UPPER($B$2:$B96),CHAR(160),""))=TRIM(SUBSTITUTE(UPPER(B96),CHAR(160),"")))*
       (TRIM(SUBSTITUTE(UPPER($C$2:$C96),CHAR(160),""))=TRIM(SUBSTITUTE(UPPER(C96),CHAR(160),"")))*
       (TRIM(SUBSTITUTE(UPPER($D$2:$D96),CHAR(160),""))=TRIM(SUBSTITUTE(UPPER(D96),CHAR(160),"")))*
       (TRIM(SUBSTITUTE(UPPER($E$2:$E96),CHAR(160),""))=TRIM(SUBSTITUTE(UPPER(E96),CHAR(160),"")))
     )
  ),
  0
)</f>
        <v>0</v>
      </c>
      <c r="J96" s="8" cm="1">
        <f t="array" ref="J96">IFERROR(
  IF(D96&lt;&gt;"Catherine",
     0,
     SUMPRODUCT(
       (TRIM(SUBSTITUTE(UPPER($B$2:$B96),CHAR(160),""))=TRIM(SUBSTITUTE(UPPER(B96),CHAR(160),"")))*
       (TRIM(SUBSTITUTE(UPPER($C$2:$C96),CHAR(160),""))=TRIM(SUBSTITUTE(UPPER(C96),CHAR(160),"")))*
       (TRIM(SUBSTITUTE(UPPER($D$2:$D96),CHAR(160),""))=TRIM(SUBSTITUTE(UPPER(D96),CHAR(160),"")))*
       (TRIM(SUBSTITUTE(UPPER($E$2:$E96),CHAR(160),""))=TRIM(SUBSTITUTE(UPPER(E96),CHAR(160),"")))
     )
  ),
  0
)</f>
        <v>0</v>
      </c>
      <c r="K96" s="9">
        <f>IFERROR(
  IF(
    D96&lt;&gt;"Cédric",
    0,
    IF(
      C96="",
      IF(
        COUNTIFS($B$2:B96,B96,$E$2:E96,E96,$D$2:D96,D96)=1,
        INDEX([1]DB!$A:$A,MATCH($E96,[1]DB!$D:$D,0)),
        IF(
          COUNTIFS($B$2:B96,B96,$E$2:E96,E96,$D$2:D96,D96)=2,
          INDEX([1]DB!$B:$B,MATCH($E96,[1]DB!$D:$D,0)),
          INDEX([1]DB!$C:$C,MATCH($E96,[1]DB!$D:$D,0))
        )
      ),
      IF(
        COUNTIFS($C$2:C96,C96,$E$2:E96,E96,$D$2:D96,D96)=1,
        INDEX([1]DB!$A:$A,MATCH($E96,[1]DB!$D:$D,0)),
        IF(
          COUNTIFS($C$2:C96,C96,$E$2:E96,E96,$D$2:D96,D96)=2,
          INDEX([1]DB!$B:$B,MATCH($E96,[1]DB!$D:$D,0)),
          INDEX([1]DB!$C:$C,MATCH($E96,[1]DB!$D:$D,0))
        )
      )
    )
  ),
  0
)</f>
        <v>0</v>
      </c>
      <c r="L96" s="9">
        <f>IFERROR(
  IF(
    D96&lt;&gt;"Geoffroy",
    0,
    IF(
      C96="",
      IF(
        COUNTIFS($B$2:B96,B96,$E$2:E96,E96,$D$2:D96,D96)=1,
        INDEX([1]DB!$A:$A,MATCH($E96,[1]DB!$D:$D,0)),
        IF(
          COUNTIFS($B$2:B96,B96,$E$2:E96,E96,$D$2:D96,D96)=2,
          INDEX([1]DB!$B:$B,MATCH($E96,[1]DB!$D:$D,0)),
          INDEX([1]DB!$C:$C,MATCH($E96,[1]DB!$D:$D,0))
        )
      ),
      IF(
        COUNTIFS($C$2:C96,C96,$E$2:E96,E96,$D$2:D96,D96)=1,
        INDEX([1]DB!$A:$A,MATCH($E96,[1]DB!$D:$D,0)),
        IF(
          COUNTIFS($C$2:C96,C96,$E$2:E96,E96,$D$2:D96,D96)=2,
          INDEX([1]DB!$B:$B,MATCH($E96,[1]DB!$D:$D,0)),
          INDEX([1]DB!$C:$C,MATCH($E96,[1]DB!$D:$D,0))
        )
      )
    )
  ),
  0
)</f>
        <v>0</v>
      </c>
      <c r="M96" s="9">
        <f>IFERROR(
  IF(
    D96&lt;&gt;"Tiphaine",
    0,
    IF(
      C96="",
      IF(
        COUNTIFS($B$2:B96,B96,$E$2:E96,E96,$D$2:D96,D96)=1,
        INDEX([1]DB!$A:$A,MATCH($E96,[1]DB!$D:$D,0)),
        IF(
          COUNTIFS($B$2:B96,B96,$E$2:E96,E96,$D$2:D96,D96)=2,
          INDEX([1]DB!$B:$B,MATCH($E96,[1]DB!$D:$D,0)),
          INDEX([1]DB!$C:$C,MATCH($E96,[1]DB!$D:$D,0))
        )
      ),
      IF(
        COUNTIFS($C$2:C96,C96,$E$2:E96,E96,$D$2:D96,D96)=1,
        INDEX([1]DB!$A:$A,MATCH($E96,[1]DB!$D:$D,0)),
        IF(
          COUNTIFS($C$2:C96,C96,$E$2:E96,E96,$D$2:D96,D96)=2,
          INDEX([1]DB!$B:$B,MATCH($E96,[1]DB!$D:$D,0)),
          INDEX([1]DB!$C:$C,MATCH($E96,[1]DB!$D:$D,0))
        )
      )
    )
  ),
  0
)</f>
        <v>0</v>
      </c>
      <c r="N96" s="9">
        <f>IFERROR(
  IF(
    D96&lt;&gt;"Catherine",
    0,
    IF(
      C96="",
      IF(
        COUNTIFS($B$2:B96,B96,$E$2:E96,E96,$D$2:D96,D96)=1,
        INDEX([1]DB!$A:$A,MATCH($E96,[1]DB!$D:$D,0)),
        IF(
          COUNTIFS($B$2:B96,B96,$E$2:E96,E96,$D$2:D96,D96)=2,
          INDEX([1]DB!$B:$B,MATCH($E96,[1]DB!$D:$D,0)),
          INDEX([1]DB!$C:$C,MATCH($E96,[1]DB!$D:$D,0))
        )
      ),
      IF(
        COUNTIFS($C$2:C96,C96,$E$2:E96,E96,$D$2:D96,D96)=1,
        INDEX([1]DB!$A:$A,MATCH($E96,[1]DB!$D:$D,0)),
        IF(
          COUNTIFS($C$2:C96,C96,$E$2:E96,E96,$D$2:D96,D96)=2,
          INDEX([1]DB!$B:$B,MATCH($E96,[1]DB!$D:$D,0)),
          INDEX([1]DB!$C:$C,MATCH($E96,[1]DB!$D:$D,0))
        )
      )
    )
  ),
  0
)</f>
        <v>0</v>
      </c>
      <c r="O96" s="5" t="str">
        <f>IF(DAY(A96)&lt;=15,UPPER(LEFT(TEXT(A96,"mmmm"),1))&amp;RIGHT(TEXT(A96,"mmmm"),LEN(TEXT(A96,"mmmm"))-1),UPPER(LEFT(TEXT(DATE(YEAR(A96),MONTH(A96)+1,1),"mmmm"),1))&amp;RIGHT(TEXT(DATE(YEAR(A96),MONTH(A96)+1,1),"mmmm"),LEN(TEXT(DATE(YEAR(A96),MONTH(A96)+1,1),"mmmm"))-1))</f>
        <v>Janvier</v>
      </c>
      <c r="P96" s="6" t="str">
        <f ca="1">IF(AND(A96&lt;=TODAY(),F96&lt;&gt;""),"OK","NON")</f>
        <v>NON</v>
      </c>
    </row>
    <row r="97" spans="1:16">
      <c r="A97" s="4"/>
      <c r="B97" s="5"/>
      <c r="C97" s="5"/>
      <c r="D97" s="6"/>
      <c r="E97" s="6"/>
      <c r="F97" s="7"/>
      <c r="G97" s="8" cm="1">
        <f t="array" ref="G97">IFERROR(
  IF(D97&lt;&gt;"Cédric",
     0,
     SUMPRODUCT(
       (TRIM(SUBSTITUTE(UPPER($B$2:$B97),CHAR(160),""))=TRIM(SUBSTITUTE(UPPER(B97),CHAR(160),"")))*
       (TRIM(SUBSTITUTE(UPPER($C$2:$C97),CHAR(160),""))=TRIM(SUBSTITUTE(UPPER(C97),CHAR(160),"")))*
       (TRIM(SUBSTITUTE(UPPER($D$2:$D97),CHAR(160),""))=TRIM(SUBSTITUTE(UPPER(D97),CHAR(160),"")))*
       (TRIM(SUBSTITUTE(UPPER($E$2:$E97),CHAR(160),""))=TRIM(SUBSTITUTE(UPPER(E97),CHAR(160),"")))
     )
  ),
  0
)</f>
        <v>0</v>
      </c>
      <c r="H97" s="8" cm="1">
        <f t="array" ref="H97">IFERROR(
  IF(D97&lt;&gt;"Geoffroy",
     0,
     SUMPRODUCT(
       (TRIM(SUBSTITUTE(UPPER($B$2:$B97),CHAR(160),""))=TRIM(SUBSTITUTE(UPPER(B97),CHAR(160),"")))*
       (TRIM(SUBSTITUTE(UPPER($C$2:$C97),CHAR(160),""))=TRIM(SUBSTITUTE(UPPER(C97),CHAR(160),"")))*
       (TRIM(SUBSTITUTE(UPPER($D$2:$D97),CHAR(160),""))=TRIM(SUBSTITUTE(UPPER(D97),CHAR(160),"")))*
       (TRIM(SUBSTITUTE(UPPER($E$2:$E97),CHAR(160),""))=TRIM(SUBSTITUTE(UPPER(E97),CHAR(160),"")))
     )
  ),
  0
)</f>
        <v>0</v>
      </c>
      <c r="I97" s="8" cm="1">
        <f t="array" ref="I97">IFERROR(
  IF(D97&lt;&gt;"Tiphaine",
     0,
     SUMPRODUCT(
       (TRIM(SUBSTITUTE(UPPER($B$2:$B97),CHAR(160),""))=TRIM(SUBSTITUTE(UPPER(B97),CHAR(160),"")))*
       (TRIM(SUBSTITUTE(UPPER($C$2:$C97),CHAR(160),""))=TRIM(SUBSTITUTE(UPPER(C97),CHAR(160),"")))*
       (TRIM(SUBSTITUTE(UPPER($D$2:$D97),CHAR(160),""))=TRIM(SUBSTITUTE(UPPER(D97),CHAR(160),"")))*
       (TRIM(SUBSTITUTE(UPPER($E$2:$E97),CHAR(160),""))=TRIM(SUBSTITUTE(UPPER(E97),CHAR(160),"")))
     )
  ),
  0
)</f>
        <v>0</v>
      </c>
      <c r="J97" s="8" cm="1">
        <f t="array" ref="J97">IFERROR(
  IF(D97&lt;&gt;"Catherine",
     0,
     SUMPRODUCT(
       (TRIM(SUBSTITUTE(UPPER($B$2:$B97),CHAR(160),""))=TRIM(SUBSTITUTE(UPPER(B97),CHAR(160),"")))*
       (TRIM(SUBSTITUTE(UPPER($C$2:$C97),CHAR(160),""))=TRIM(SUBSTITUTE(UPPER(C97),CHAR(160),"")))*
       (TRIM(SUBSTITUTE(UPPER($D$2:$D97),CHAR(160),""))=TRIM(SUBSTITUTE(UPPER(D97),CHAR(160),"")))*
       (TRIM(SUBSTITUTE(UPPER($E$2:$E97),CHAR(160),""))=TRIM(SUBSTITUTE(UPPER(E97),CHAR(160),"")))
     )
  ),
  0
)</f>
        <v>0</v>
      </c>
      <c r="K97" s="9">
        <f>IFERROR(
  IF(
    D97&lt;&gt;"Cédric",
    0,
    IF(
      C97="",
      IF(
        COUNTIFS($B$2:B97,B97,$E$2:E97,E97,$D$2:D97,D97)=1,
        INDEX([1]DB!$A:$A,MATCH($E97,[1]DB!$D:$D,0)),
        IF(
          COUNTIFS($B$2:B97,B97,$E$2:E97,E97,$D$2:D97,D97)=2,
          INDEX([1]DB!$B:$B,MATCH($E97,[1]DB!$D:$D,0)),
          INDEX([1]DB!$C:$C,MATCH($E97,[1]DB!$D:$D,0))
        )
      ),
      IF(
        COUNTIFS($C$2:C97,C97,$E$2:E97,E97,$D$2:D97,D97)=1,
        INDEX([1]DB!$A:$A,MATCH($E97,[1]DB!$D:$D,0)),
        IF(
          COUNTIFS($C$2:C97,C97,$E$2:E97,E97,$D$2:D97,D97)=2,
          INDEX([1]DB!$B:$B,MATCH($E97,[1]DB!$D:$D,0)),
          INDEX([1]DB!$C:$C,MATCH($E97,[1]DB!$D:$D,0))
        )
      )
    )
  ),
  0
)</f>
        <v>0</v>
      </c>
      <c r="L97" s="9">
        <f>IFERROR(
  IF(
    D97&lt;&gt;"Geoffroy",
    0,
    IF(
      C97="",
      IF(
        COUNTIFS($B$2:B97,B97,$E$2:E97,E97,$D$2:D97,D97)=1,
        INDEX([1]DB!$A:$A,MATCH($E97,[1]DB!$D:$D,0)),
        IF(
          COUNTIFS($B$2:B97,B97,$E$2:E97,E97,$D$2:D97,D97)=2,
          INDEX([1]DB!$B:$B,MATCH($E97,[1]DB!$D:$D,0)),
          INDEX([1]DB!$C:$C,MATCH($E97,[1]DB!$D:$D,0))
        )
      ),
      IF(
        COUNTIFS($C$2:C97,C97,$E$2:E97,E97,$D$2:D97,D97)=1,
        INDEX([1]DB!$A:$A,MATCH($E97,[1]DB!$D:$D,0)),
        IF(
          COUNTIFS($C$2:C97,C97,$E$2:E97,E97,$D$2:D97,D97)=2,
          INDEX([1]DB!$B:$B,MATCH($E97,[1]DB!$D:$D,0)),
          INDEX([1]DB!$C:$C,MATCH($E97,[1]DB!$D:$D,0))
        )
      )
    )
  ),
  0
)</f>
        <v>0</v>
      </c>
      <c r="M97" s="9">
        <f>IFERROR(
  IF(
    D97&lt;&gt;"Tiphaine",
    0,
    IF(
      C97="",
      IF(
        COUNTIFS($B$2:B97,B97,$E$2:E97,E97,$D$2:D97,D97)=1,
        INDEX([1]DB!$A:$A,MATCH($E97,[1]DB!$D:$D,0)),
        IF(
          COUNTIFS($B$2:B97,B97,$E$2:E97,E97,$D$2:D97,D97)=2,
          INDEX([1]DB!$B:$B,MATCH($E97,[1]DB!$D:$D,0)),
          INDEX([1]DB!$C:$C,MATCH($E97,[1]DB!$D:$D,0))
        )
      ),
      IF(
        COUNTIFS($C$2:C97,C97,$E$2:E97,E97,$D$2:D97,D97)=1,
        INDEX([1]DB!$A:$A,MATCH($E97,[1]DB!$D:$D,0)),
        IF(
          COUNTIFS($C$2:C97,C97,$E$2:E97,E97,$D$2:D97,D97)=2,
          INDEX([1]DB!$B:$B,MATCH($E97,[1]DB!$D:$D,0)),
          INDEX([1]DB!$C:$C,MATCH($E97,[1]DB!$D:$D,0))
        )
      )
    )
  ),
  0
)</f>
        <v>0</v>
      </c>
      <c r="N97" s="9">
        <f>IFERROR(
  IF(
    D97&lt;&gt;"Catherine",
    0,
    IF(
      C97="",
      IF(
        COUNTIFS($B$2:B97,B97,$E$2:E97,E97,$D$2:D97,D97)=1,
        INDEX([1]DB!$A:$A,MATCH($E97,[1]DB!$D:$D,0)),
        IF(
          COUNTIFS($B$2:B97,B97,$E$2:E97,E97,$D$2:D97,D97)=2,
          INDEX([1]DB!$B:$B,MATCH($E97,[1]DB!$D:$D,0)),
          INDEX([1]DB!$C:$C,MATCH($E97,[1]DB!$D:$D,0))
        )
      ),
      IF(
        COUNTIFS($C$2:C97,C97,$E$2:E97,E97,$D$2:D97,D97)=1,
        INDEX([1]DB!$A:$A,MATCH($E97,[1]DB!$D:$D,0)),
        IF(
          COUNTIFS($C$2:C97,C97,$E$2:E97,E97,$D$2:D97,D97)=2,
          INDEX([1]DB!$B:$B,MATCH($E97,[1]DB!$D:$D,0)),
          INDEX([1]DB!$C:$C,MATCH($E97,[1]DB!$D:$D,0))
        )
      )
    )
  ),
  0
)</f>
        <v>0</v>
      </c>
      <c r="O97" s="5" t="str">
        <f>IF(DAY(A97)&lt;=15,UPPER(LEFT(TEXT(A97,"mmmm"),1))&amp;RIGHT(TEXT(A97,"mmmm"),LEN(TEXT(A97,"mmmm"))-1),UPPER(LEFT(TEXT(DATE(YEAR(A97),MONTH(A97)+1,1),"mmmm"),1))&amp;RIGHT(TEXT(DATE(YEAR(A97),MONTH(A97)+1,1),"mmmm"),LEN(TEXT(DATE(YEAR(A97),MONTH(A97)+1,1),"mmmm"))-1))</f>
        <v>Janvier</v>
      </c>
      <c r="P97" s="6" t="str">
        <f ca="1">IF(AND(A97&lt;=TODAY(),F97&lt;&gt;""),"OK","NON")</f>
        <v>NON</v>
      </c>
    </row>
    <row r="98" spans="1:16">
      <c r="A98" s="4"/>
      <c r="B98" s="5"/>
      <c r="C98" s="5"/>
      <c r="D98" s="6"/>
      <c r="E98" s="6"/>
      <c r="F98" s="7"/>
      <c r="G98" s="8" cm="1">
        <f t="array" ref="G98">IFERROR(
  IF(D98&lt;&gt;"Cédric",
     0,
     SUMPRODUCT(
       (TRIM(SUBSTITUTE(UPPER($B$2:$B98),CHAR(160),""))=TRIM(SUBSTITUTE(UPPER(B98),CHAR(160),"")))*
       (TRIM(SUBSTITUTE(UPPER($C$2:$C98),CHAR(160),""))=TRIM(SUBSTITUTE(UPPER(C98),CHAR(160),"")))*
       (TRIM(SUBSTITUTE(UPPER($D$2:$D98),CHAR(160),""))=TRIM(SUBSTITUTE(UPPER(D98),CHAR(160),"")))*
       (TRIM(SUBSTITUTE(UPPER($E$2:$E98),CHAR(160),""))=TRIM(SUBSTITUTE(UPPER(E98),CHAR(160),"")))
     )
  ),
  0
)</f>
        <v>0</v>
      </c>
      <c r="H98" s="8" cm="1">
        <f t="array" ref="H98">IFERROR(
  IF(D98&lt;&gt;"Geoffroy",
     0,
     SUMPRODUCT(
       (TRIM(SUBSTITUTE(UPPER($B$2:$B98),CHAR(160),""))=TRIM(SUBSTITUTE(UPPER(B98),CHAR(160),"")))*
       (TRIM(SUBSTITUTE(UPPER($C$2:$C98),CHAR(160),""))=TRIM(SUBSTITUTE(UPPER(C98),CHAR(160),"")))*
       (TRIM(SUBSTITUTE(UPPER($D$2:$D98),CHAR(160),""))=TRIM(SUBSTITUTE(UPPER(D98),CHAR(160),"")))*
       (TRIM(SUBSTITUTE(UPPER($E$2:$E98),CHAR(160),""))=TRIM(SUBSTITUTE(UPPER(E98),CHAR(160),"")))
     )
  ),
  0
)</f>
        <v>0</v>
      </c>
      <c r="I98" s="8" cm="1">
        <f t="array" ref="I98">IFERROR(
  IF(D98&lt;&gt;"Tiphaine",
     0,
     SUMPRODUCT(
       (TRIM(SUBSTITUTE(UPPER($B$2:$B98),CHAR(160),""))=TRIM(SUBSTITUTE(UPPER(B98),CHAR(160),"")))*
       (TRIM(SUBSTITUTE(UPPER($C$2:$C98),CHAR(160),""))=TRIM(SUBSTITUTE(UPPER(C98),CHAR(160),"")))*
       (TRIM(SUBSTITUTE(UPPER($D$2:$D98),CHAR(160),""))=TRIM(SUBSTITUTE(UPPER(D98),CHAR(160),"")))*
       (TRIM(SUBSTITUTE(UPPER($E$2:$E98),CHAR(160),""))=TRIM(SUBSTITUTE(UPPER(E98),CHAR(160),"")))
     )
  ),
  0
)</f>
        <v>0</v>
      </c>
      <c r="J98" s="8" cm="1">
        <f t="array" ref="J98">IFERROR(
  IF(D98&lt;&gt;"Catherine",
     0,
     SUMPRODUCT(
       (TRIM(SUBSTITUTE(UPPER($B$2:$B98),CHAR(160),""))=TRIM(SUBSTITUTE(UPPER(B98),CHAR(160),"")))*
       (TRIM(SUBSTITUTE(UPPER($C$2:$C98),CHAR(160),""))=TRIM(SUBSTITUTE(UPPER(C98),CHAR(160),"")))*
       (TRIM(SUBSTITUTE(UPPER($D$2:$D98),CHAR(160),""))=TRIM(SUBSTITUTE(UPPER(D98),CHAR(160),"")))*
       (TRIM(SUBSTITUTE(UPPER($E$2:$E98),CHAR(160),""))=TRIM(SUBSTITUTE(UPPER(E98),CHAR(160),"")))
     )
  ),
  0
)</f>
        <v>0</v>
      </c>
      <c r="K98" s="9">
        <f>IFERROR(
  IF(
    D98&lt;&gt;"Cédric",
    0,
    IF(
      C98="",
      IF(
        COUNTIFS($B$2:B98,B98,$E$2:E98,E98,$D$2:D98,D98)=1,
        INDEX([1]DB!$A:$A,MATCH($E98,[1]DB!$D:$D,0)),
        IF(
          COUNTIFS($B$2:B98,B98,$E$2:E98,E98,$D$2:D98,D98)=2,
          INDEX([1]DB!$B:$B,MATCH($E98,[1]DB!$D:$D,0)),
          INDEX([1]DB!$C:$C,MATCH($E98,[1]DB!$D:$D,0))
        )
      ),
      IF(
        COUNTIFS($C$2:C98,C98,$E$2:E98,E98,$D$2:D98,D98)=1,
        INDEX([1]DB!$A:$A,MATCH($E98,[1]DB!$D:$D,0)),
        IF(
          COUNTIFS($C$2:C98,C98,$E$2:E98,E98,$D$2:D98,D98)=2,
          INDEX([1]DB!$B:$B,MATCH($E98,[1]DB!$D:$D,0)),
          INDEX([1]DB!$C:$C,MATCH($E98,[1]DB!$D:$D,0))
        )
      )
    )
  ),
  0
)</f>
        <v>0</v>
      </c>
      <c r="L98" s="9">
        <f>IFERROR(
  IF(
    D98&lt;&gt;"Geoffroy",
    0,
    IF(
      C98="",
      IF(
        COUNTIFS($B$2:B98,B98,$E$2:E98,E98,$D$2:D98,D98)=1,
        INDEX([1]DB!$A:$A,MATCH($E98,[1]DB!$D:$D,0)),
        IF(
          COUNTIFS($B$2:B98,B98,$E$2:E98,E98,$D$2:D98,D98)=2,
          INDEX([1]DB!$B:$B,MATCH($E98,[1]DB!$D:$D,0)),
          INDEX([1]DB!$C:$C,MATCH($E98,[1]DB!$D:$D,0))
        )
      ),
      IF(
        COUNTIFS($C$2:C98,C98,$E$2:E98,E98,$D$2:D98,D98)=1,
        INDEX([1]DB!$A:$A,MATCH($E98,[1]DB!$D:$D,0)),
        IF(
          COUNTIFS($C$2:C98,C98,$E$2:E98,E98,$D$2:D98,D98)=2,
          INDEX([1]DB!$B:$B,MATCH($E98,[1]DB!$D:$D,0)),
          INDEX([1]DB!$C:$C,MATCH($E98,[1]DB!$D:$D,0))
        )
      )
    )
  ),
  0
)</f>
        <v>0</v>
      </c>
      <c r="M98" s="9">
        <f>IFERROR(
  IF(
    D98&lt;&gt;"Tiphaine",
    0,
    IF(
      C98="",
      IF(
        COUNTIFS($B$2:B98,B98,$E$2:E98,E98,$D$2:D98,D98)=1,
        INDEX([1]DB!$A:$A,MATCH($E98,[1]DB!$D:$D,0)),
        IF(
          COUNTIFS($B$2:B98,B98,$E$2:E98,E98,$D$2:D98,D98)=2,
          INDEX([1]DB!$B:$B,MATCH($E98,[1]DB!$D:$D,0)),
          INDEX([1]DB!$C:$C,MATCH($E98,[1]DB!$D:$D,0))
        )
      ),
      IF(
        COUNTIFS($C$2:C98,C98,$E$2:E98,E98,$D$2:D98,D98)=1,
        INDEX([1]DB!$A:$A,MATCH($E98,[1]DB!$D:$D,0)),
        IF(
          COUNTIFS($C$2:C98,C98,$E$2:E98,E98,$D$2:D98,D98)=2,
          INDEX([1]DB!$B:$B,MATCH($E98,[1]DB!$D:$D,0)),
          INDEX([1]DB!$C:$C,MATCH($E98,[1]DB!$D:$D,0))
        )
      )
    )
  ),
  0
)</f>
        <v>0</v>
      </c>
      <c r="N98" s="9">
        <f>IFERROR(
  IF(
    D98&lt;&gt;"Catherine",
    0,
    IF(
      C98="",
      IF(
        COUNTIFS($B$2:B98,B98,$E$2:E98,E98,$D$2:D98,D98)=1,
        INDEX([1]DB!$A:$A,MATCH($E98,[1]DB!$D:$D,0)),
        IF(
          COUNTIFS($B$2:B98,B98,$E$2:E98,E98,$D$2:D98,D98)=2,
          INDEX([1]DB!$B:$B,MATCH($E98,[1]DB!$D:$D,0)),
          INDEX([1]DB!$C:$C,MATCH($E98,[1]DB!$D:$D,0))
        )
      ),
      IF(
        COUNTIFS($C$2:C98,C98,$E$2:E98,E98,$D$2:D98,D98)=1,
        INDEX([1]DB!$A:$A,MATCH($E98,[1]DB!$D:$D,0)),
        IF(
          COUNTIFS($C$2:C98,C98,$E$2:E98,E98,$D$2:D98,D98)=2,
          INDEX([1]DB!$B:$B,MATCH($E98,[1]DB!$D:$D,0)),
          INDEX([1]DB!$C:$C,MATCH($E98,[1]DB!$D:$D,0))
        )
      )
    )
  ),
  0
)</f>
        <v>0</v>
      </c>
      <c r="O98" s="5" t="str">
        <f>IF(DAY(A98)&lt;=15,UPPER(LEFT(TEXT(A98,"mmmm"),1))&amp;RIGHT(TEXT(A98,"mmmm"),LEN(TEXT(A98,"mmmm"))-1),UPPER(LEFT(TEXT(DATE(YEAR(A98),MONTH(A98)+1,1),"mmmm"),1))&amp;RIGHT(TEXT(DATE(YEAR(A98),MONTH(A98)+1,1),"mmmm"),LEN(TEXT(DATE(YEAR(A98),MONTH(A98)+1,1),"mmmm"))-1))</f>
        <v>Janvier</v>
      </c>
      <c r="P98" s="6" t="str">
        <f ca="1">IF(AND(A98&lt;=TODAY(),F98&lt;&gt;""),"OK","NON")</f>
        <v>NON</v>
      </c>
    </row>
    <row r="99" spans="1:16">
      <c r="A99" s="4"/>
      <c r="B99" s="5"/>
      <c r="C99" s="5"/>
      <c r="D99" s="6"/>
      <c r="E99" s="6"/>
      <c r="F99" s="7"/>
      <c r="G99" s="8" cm="1">
        <f t="array" ref="G99">IFERROR(
  IF(D99&lt;&gt;"Cédric",
     0,
     SUMPRODUCT(
       (TRIM(SUBSTITUTE(UPPER($B$2:$B99),CHAR(160),""))=TRIM(SUBSTITUTE(UPPER(B99),CHAR(160),"")))*
       (TRIM(SUBSTITUTE(UPPER($C$2:$C99),CHAR(160),""))=TRIM(SUBSTITUTE(UPPER(C99),CHAR(160),"")))*
       (TRIM(SUBSTITUTE(UPPER($D$2:$D99),CHAR(160),""))=TRIM(SUBSTITUTE(UPPER(D99),CHAR(160),"")))*
       (TRIM(SUBSTITUTE(UPPER($E$2:$E99),CHAR(160),""))=TRIM(SUBSTITUTE(UPPER(E99),CHAR(160),"")))
     )
  ),
  0
)</f>
        <v>0</v>
      </c>
      <c r="H99" s="8" cm="1">
        <f t="array" ref="H99">IFERROR(
  IF(D99&lt;&gt;"Geoffroy",
     0,
     SUMPRODUCT(
       (TRIM(SUBSTITUTE(UPPER($B$2:$B99),CHAR(160),""))=TRIM(SUBSTITUTE(UPPER(B99),CHAR(160),"")))*
       (TRIM(SUBSTITUTE(UPPER($C$2:$C99),CHAR(160),""))=TRIM(SUBSTITUTE(UPPER(C99),CHAR(160),"")))*
       (TRIM(SUBSTITUTE(UPPER($D$2:$D99),CHAR(160),""))=TRIM(SUBSTITUTE(UPPER(D99),CHAR(160),"")))*
       (TRIM(SUBSTITUTE(UPPER($E$2:$E99),CHAR(160),""))=TRIM(SUBSTITUTE(UPPER(E99),CHAR(160),"")))
     )
  ),
  0
)</f>
        <v>0</v>
      </c>
      <c r="I99" s="8" cm="1">
        <f t="array" ref="I99">IFERROR(
  IF(D99&lt;&gt;"Tiphaine",
     0,
     SUMPRODUCT(
       (TRIM(SUBSTITUTE(UPPER($B$2:$B99),CHAR(160),""))=TRIM(SUBSTITUTE(UPPER(B99),CHAR(160),"")))*
       (TRIM(SUBSTITUTE(UPPER($C$2:$C99),CHAR(160),""))=TRIM(SUBSTITUTE(UPPER(C99),CHAR(160),"")))*
       (TRIM(SUBSTITUTE(UPPER($D$2:$D99),CHAR(160),""))=TRIM(SUBSTITUTE(UPPER(D99),CHAR(160),"")))*
       (TRIM(SUBSTITUTE(UPPER($E$2:$E99),CHAR(160),""))=TRIM(SUBSTITUTE(UPPER(E99),CHAR(160),"")))
     )
  ),
  0
)</f>
        <v>0</v>
      </c>
      <c r="J99" s="8" cm="1">
        <f t="array" ref="J99">IFERROR(
  IF(D99&lt;&gt;"Catherine",
     0,
     SUMPRODUCT(
       (TRIM(SUBSTITUTE(UPPER($B$2:$B99),CHAR(160),""))=TRIM(SUBSTITUTE(UPPER(B99),CHAR(160),"")))*
       (TRIM(SUBSTITUTE(UPPER($C$2:$C99),CHAR(160),""))=TRIM(SUBSTITUTE(UPPER(C99),CHAR(160),"")))*
       (TRIM(SUBSTITUTE(UPPER($D$2:$D99),CHAR(160),""))=TRIM(SUBSTITUTE(UPPER(D99),CHAR(160),"")))*
       (TRIM(SUBSTITUTE(UPPER($E$2:$E99),CHAR(160),""))=TRIM(SUBSTITUTE(UPPER(E99),CHAR(160),"")))
     )
  ),
  0
)</f>
        <v>0</v>
      </c>
      <c r="K99" s="9">
        <f>IFERROR(
  IF(
    D99&lt;&gt;"Cédric",
    0,
    IF(
      C99="",
      IF(
        COUNTIFS($B$2:B99,B99,$E$2:E99,E99,$D$2:D99,D99)=1,
        INDEX([1]DB!$A:$A,MATCH($E99,[1]DB!$D:$D,0)),
        IF(
          COUNTIFS($B$2:B99,B99,$E$2:E99,E99,$D$2:D99,D99)=2,
          INDEX([1]DB!$B:$B,MATCH($E99,[1]DB!$D:$D,0)),
          INDEX([1]DB!$C:$C,MATCH($E99,[1]DB!$D:$D,0))
        )
      ),
      IF(
        COUNTIFS($C$2:C99,C99,$E$2:E99,E99,$D$2:D99,D99)=1,
        INDEX([1]DB!$A:$A,MATCH($E99,[1]DB!$D:$D,0)),
        IF(
          COUNTIFS($C$2:C99,C99,$E$2:E99,E99,$D$2:D99,D99)=2,
          INDEX([1]DB!$B:$B,MATCH($E99,[1]DB!$D:$D,0)),
          INDEX([1]DB!$C:$C,MATCH($E99,[1]DB!$D:$D,0))
        )
      )
    )
  ),
  0
)</f>
        <v>0</v>
      </c>
      <c r="L99" s="9">
        <f>IFERROR(
  IF(
    D99&lt;&gt;"Geoffroy",
    0,
    IF(
      C99="",
      IF(
        COUNTIFS($B$2:B99,B99,$E$2:E99,E99,$D$2:D99,D99)=1,
        INDEX([1]DB!$A:$A,MATCH($E99,[1]DB!$D:$D,0)),
        IF(
          COUNTIFS($B$2:B99,B99,$E$2:E99,E99,$D$2:D99,D99)=2,
          INDEX([1]DB!$B:$B,MATCH($E99,[1]DB!$D:$D,0)),
          INDEX([1]DB!$C:$C,MATCH($E99,[1]DB!$D:$D,0))
        )
      ),
      IF(
        COUNTIFS($C$2:C99,C99,$E$2:E99,E99,$D$2:D99,D99)=1,
        INDEX([1]DB!$A:$A,MATCH($E99,[1]DB!$D:$D,0)),
        IF(
          COUNTIFS($C$2:C99,C99,$E$2:E99,E99,$D$2:D99,D99)=2,
          INDEX([1]DB!$B:$B,MATCH($E99,[1]DB!$D:$D,0)),
          INDEX([1]DB!$C:$C,MATCH($E99,[1]DB!$D:$D,0))
        )
      )
    )
  ),
  0
)</f>
        <v>0</v>
      </c>
      <c r="M99" s="9">
        <f>IFERROR(
  IF(
    D99&lt;&gt;"Tiphaine",
    0,
    IF(
      C99="",
      IF(
        COUNTIFS($B$2:B99,B99,$E$2:E99,E99,$D$2:D99,D99)=1,
        INDEX([1]DB!$A:$A,MATCH($E99,[1]DB!$D:$D,0)),
        IF(
          COUNTIFS($B$2:B99,B99,$E$2:E99,E99,$D$2:D99,D99)=2,
          INDEX([1]DB!$B:$B,MATCH($E99,[1]DB!$D:$D,0)),
          INDEX([1]DB!$C:$C,MATCH($E99,[1]DB!$D:$D,0))
        )
      ),
      IF(
        COUNTIFS($C$2:C99,C99,$E$2:E99,E99,$D$2:D99,D99)=1,
        INDEX([1]DB!$A:$A,MATCH($E99,[1]DB!$D:$D,0)),
        IF(
          COUNTIFS($C$2:C99,C99,$E$2:E99,E99,$D$2:D99,D99)=2,
          INDEX([1]DB!$B:$B,MATCH($E99,[1]DB!$D:$D,0)),
          INDEX([1]DB!$C:$C,MATCH($E99,[1]DB!$D:$D,0))
        )
      )
    )
  ),
  0
)</f>
        <v>0</v>
      </c>
      <c r="N99" s="9">
        <f>IFERROR(
  IF(
    D99&lt;&gt;"Catherine",
    0,
    IF(
      C99="",
      IF(
        COUNTIFS($B$2:B99,B99,$E$2:E99,E99,$D$2:D99,D99)=1,
        INDEX([1]DB!$A:$A,MATCH($E99,[1]DB!$D:$D,0)),
        IF(
          COUNTIFS($B$2:B99,B99,$E$2:E99,E99,$D$2:D99,D99)=2,
          INDEX([1]DB!$B:$B,MATCH($E99,[1]DB!$D:$D,0)),
          INDEX([1]DB!$C:$C,MATCH($E99,[1]DB!$D:$D,0))
        )
      ),
      IF(
        COUNTIFS($C$2:C99,C99,$E$2:E99,E99,$D$2:D99,D99)=1,
        INDEX([1]DB!$A:$A,MATCH($E99,[1]DB!$D:$D,0)),
        IF(
          COUNTIFS($C$2:C99,C99,$E$2:E99,E99,$D$2:D99,D99)=2,
          INDEX([1]DB!$B:$B,MATCH($E99,[1]DB!$D:$D,0)),
          INDEX([1]DB!$C:$C,MATCH($E99,[1]DB!$D:$D,0))
        )
      )
    )
  ),
  0
)</f>
        <v>0</v>
      </c>
      <c r="O99" s="5" t="str">
        <f>IF(DAY(A99)&lt;=15,UPPER(LEFT(TEXT(A99,"mmmm"),1))&amp;RIGHT(TEXT(A99,"mmmm"),LEN(TEXT(A99,"mmmm"))-1),UPPER(LEFT(TEXT(DATE(YEAR(A99),MONTH(A99)+1,1),"mmmm"),1))&amp;RIGHT(TEXT(DATE(YEAR(A99),MONTH(A99)+1,1),"mmmm"),LEN(TEXT(DATE(YEAR(A99),MONTH(A99)+1,1),"mmmm"))-1))</f>
        <v>Janvier</v>
      </c>
      <c r="P99" s="6" t="str">
        <f ca="1">IF(AND(A99&lt;=TODAY(),F99&lt;&gt;""),"OK","NON")</f>
        <v>NON</v>
      </c>
    </row>
    <row r="100" spans="1:16">
      <c r="A100" s="4"/>
      <c r="B100" s="5"/>
      <c r="C100" s="5"/>
      <c r="D100" s="6"/>
      <c r="E100" s="6"/>
      <c r="F100" s="7"/>
      <c r="G100" s="8" cm="1">
        <f t="array" ref="G100">IFERROR(
  IF(D100&lt;&gt;"Cédric",
     0,
     SUMPRODUCT(
       (TRIM(SUBSTITUTE(UPPER($B$2:$B100),CHAR(160),""))=TRIM(SUBSTITUTE(UPPER(B100),CHAR(160),"")))*
       (TRIM(SUBSTITUTE(UPPER($C$2:$C100),CHAR(160),""))=TRIM(SUBSTITUTE(UPPER(C100),CHAR(160),"")))*
       (TRIM(SUBSTITUTE(UPPER($D$2:$D100),CHAR(160),""))=TRIM(SUBSTITUTE(UPPER(D100),CHAR(160),"")))*
       (TRIM(SUBSTITUTE(UPPER($E$2:$E100),CHAR(160),""))=TRIM(SUBSTITUTE(UPPER(E100),CHAR(160),"")))
     )
  ),
  0
)</f>
        <v>0</v>
      </c>
      <c r="H100" s="8" cm="1">
        <f t="array" ref="H100">IFERROR(
  IF(D100&lt;&gt;"Geoffroy",
     0,
     SUMPRODUCT(
       (TRIM(SUBSTITUTE(UPPER($B$2:$B100),CHAR(160),""))=TRIM(SUBSTITUTE(UPPER(B100),CHAR(160),"")))*
       (TRIM(SUBSTITUTE(UPPER($C$2:$C100),CHAR(160),""))=TRIM(SUBSTITUTE(UPPER(C100),CHAR(160),"")))*
       (TRIM(SUBSTITUTE(UPPER($D$2:$D100),CHAR(160),""))=TRIM(SUBSTITUTE(UPPER(D100),CHAR(160),"")))*
       (TRIM(SUBSTITUTE(UPPER($E$2:$E100),CHAR(160),""))=TRIM(SUBSTITUTE(UPPER(E100),CHAR(160),"")))
     )
  ),
  0
)</f>
        <v>0</v>
      </c>
      <c r="I100" s="8" cm="1">
        <f t="array" ref="I100">IFERROR(
  IF(D100&lt;&gt;"Tiphaine",
     0,
     SUMPRODUCT(
       (TRIM(SUBSTITUTE(UPPER($B$2:$B100),CHAR(160),""))=TRIM(SUBSTITUTE(UPPER(B100),CHAR(160),"")))*
       (TRIM(SUBSTITUTE(UPPER($C$2:$C100),CHAR(160),""))=TRIM(SUBSTITUTE(UPPER(C100),CHAR(160),"")))*
       (TRIM(SUBSTITUTE(UPPER($D$2:$D100),CHAR(160),""))=TRIM(SUBSTITUTE(UPPER(D100),CHAR(160),"")))*
       (TRIM(SUBSTITUTE(UPPER($E$2:$E100),CHAR(160),""))=TRIM(SUBSTITUTE(UPPER(E100),CHAR(160),"")))
     )
  ),
  0
)</f>
        <v>0</v>
      </c>
      <c r="J100" s="8" cm="1">
        <f t="array" ref="J100">IFERROR(
  IF(D100&lt;&gt;"Catherine",
     0,
     SUMPRODUCT(
       (TRIM(SUBSTITUTE(UPPER($B$2:$B100),CHAR(160),""))=TRIM(SUBSTITUTE(UPPER(B100),CHAR(160),"")))*
       (TRIM(SUBSTITUTE(UPPER($C$2:$C100),CHAR(160),""))=TRIM(SUBSTITUTE(UPPER(C100),CHAR(160),"")))*
       (TRIM(SUBSTITUTE(UPPER($D$2:$D100),CHAR(160),""))=TRIM(SUBSTITUTE(UPPER(D100),CHAR(160),"")))*
       (TRIM(SUBSTITUTE(UPPER($E$2:$E100),CHAR(160),""))=TRIM(SUBSTITUTE(UPPER(E100),CHAR(160),"")))
     )
  ),
  0
)</f>
        <v>0</v>
      </c>
      <c r="K100" s="9">
        <f>IFERROR(
  IF(
    D100&lt;&gt;"Cédric",
    0,
    IF(
      C100="",
      IF(
        COUNTIFS($B$2:B100,B100,$E$2:E100,E100,$D$2:D100,D100)=1,
        INDEX([1]DB!$A:$A,MATCH($E100,[1]DB!$D:$D,0)),
        IF(
          COUNTIFS($B$2:B100,B100,$E$2:E100,E100,$D$2:D100,D100)=2,
          INDEX([1]DB!$B:$B,MATCH($E100,[1]DB!$D:$D,0)),
          INDEX([1]DB!$C:$C,MATCH($E100,[1]DB!$D:$D,0))
        )
      ),
      IF(
        COUNTIFS($C$2:C100,C100,$E$2:E100,E100,$D$2:D100,D100)=1,
        INDEX([1]DB!$A:$A,MATCH($E100,[1]DB!$D:$D,0)),
        IF(
          COUNTIFS($C$2:C100,C100,$E$2:E100,E100,$D$2:D100,D100)=2,
          INDEX([1]DB!$B:$B,MATCH($E100,[1]DB!$D:$D,0)),
          INDEX([1]DB!$C:$C,MATCH($E100,[1]DB!$D:$D,0))
        )
      )
    )
  ),
  0
)</f>
        <v>0</v>
      </c>
      <c r="L100" s="9">
        <f>IFERROR(
  IF(
    D100&lt;&gt;"Geoffroy",
    0,
    IF(
      C100="",
      IF(
        COUNTIFS($B$2:B100,B100,$E$2:E100,E100,$D$2:D100,D100)=1,
        INDEX([1]DB!$A:$A,MATCH($E100,[1]DB!$D:$D,0)),
        IF(
          COUNTIFS($B$2:B100,B100,$E$2:E100,E100,$D$2:D100,D100)=2,
          INDEX([1]DB!$B:$B,MATCH($E100,[1]DB!$D:$D,0)),
          INDEX([1]DB!$C:$C,MATCH($E100,[1]DB!$D:$D,0))
        )
      ),
      IF(
        COUNTIFS($C$2:C100,C100,$E$2:E100,E100,$D$2:D100,D100)=1,
        INDEX([1]DB!$A:$A,MATCH($E100,[1]DB!$D:$D,0)),
        IF(
          COUNTIFS($C$2:C100,C100,$E$2:E100,E100,$D$2:D100,D100)=2,
          INDEX([1]DB!$B:$B,MATCH($E100,[1]DB!$D:$D,0)),
          INDEX([1]DB!$C:$C,MATCH($E100,[1]DB!$D:$D,0))
        )
      )
    )
  ),
  0
)</f>
        <v>0</v>
      </c>
      <c r="M100" s="9">
        <f>IFERROR(
  IF(
    D100&lt;&gt;"Tiphaine",
    0,
    IF(
      C100="",
      IF(
        COUNTIFS($B$2:B100,B100,$E$2:E100,E100,$D$2:D100,D100)=1,
        INDEX([1]DB!$A:$A,MATCH($E100,[1]DB!$D:$D,0)),
        IF(
          COUNTIFS($B$2:B100,B100,$E$2:E100,E100,$D$2:D100,D100)=2,
          INDEX([1]DB!$B:$B,MATCH($E100,[1]DB!$D:$D,0)),
          INDEX([1]DB!$C:$C,MATCH($E100,[1]DB!$D:$D,0))
        )
      ),
      IF(
        COUNTIFS($C$2:C100,C100,$E$2:E100,E100,$D$2:D100,D100)=1,
        INDEX([1]DB!$A:$A,MATCH($E100,[1]DB!$D:$D,0)),
        IF(
          COUNTIFS($C$2:C100,C100,$E$2:E100,E100,$D$2:D100,D100)=2,
          INDEX([1]DB!$B:$B,MATCH($E100,[1]DB!$D:$D,0)),
          INDEX([1]DB!$C:$C,MATCH($E100,[1]DB!$D:$D,0))
        )
      )
    )
  ),
  0
)</f>
        <v>0</v>
      </c>
      <c r="N100" s="9">
        <f>IFERROR(
  IF(
    D100&lt;&gt;"Catherine",
    0,
    IF(
      C100="",
      IF(
        COUNTIFS($B$2:B100,B100,$E$2:E100,E100,$D$2:D100,D100)=1,
        INDEX([1]DB!$A:$A,MATCH($E100,[1]DB!$D:$D,0)),
        IF(
          COUNTIFS($B$2:B100,B100,$E$2:E100,E100,$D$2:D100,D100)=2,
          INDEX([1]DB!$B:$B,MATCH($E100,[1]DB!$D:$D,0)),
          INDEX([1]DB!$C:$C,MATCH($E100,[1]DB!$D:$D,0))
        )
      ),
      IF(
        COUNTIFS($C$2:C100,C100,$E$2:E100,E100,$D$2:D100,D100)=1,
        INDEX([1]DB!$A:$A,MATCH($E100,[1]DB!$D:$D,0)),
        IF(
          COUNTIFS($C$2:C100,C100,$E$2:E100,E100,$D$2:D100,D100)=2,
          INDEX([1]DB!$B:$B,MATCH($E100,[1]DB!$D:$D,0)),
          INDEX([1]DB!$C:$C,MATCH($E100,[1]DB!$D:$D,0))
        )
      )
    )
  ),
  0
)</f>
        <v>0</v>
      </c>
      <c r="O100" s="5" t="str">
        <f>IF(DAY(A100)&lt;=15,UPPER(LEFT(TEXT(A100,"mmmm"),1))&amp;RIGHT(TEXT(A100,"mmmm"),LEN(TEXT(A100,"mmmm"))-1),UPPER(LEFT(TEXT(DATE(YEAR(A100),MONTH(A100)+1,1),"mmmm"),1))&amp;RIGHT(TEXT(DATE(YEAR(A100),MONTH(A100)+1,1),"mmmm"),LEN(TEXT(DATE(YEAR(A100),MONTH(A100)+1,1),"mmmm"))-1))</f>
        <v>Janvier</v>
      </c>
      <c r="P100" s="6" t="str">
        <f ca="1">IF(AND(A100&lt;=TODAY(),F100&lt;&gt;""),"OK","NON")</f>
        <v>NON</v>
      </c>
    </row>
    <row r="101" spans="1:16">
      <c r="A101" s="4"/>
      <c r="B101" s="5"/>
      <c r="C101" s="5"/>
      <c r="D101" s="6"/>
      <c r="E101" s="6"/>
      <c r="F101" s="7"/>
      <c r="G101" s="8" cm="1">
        <f t="array" ref="G101">IFERROR(
  IF(D101&lt;&gt;"Cédric",
     0,
     SUMPRODUCT(
       (TRIM(SUBSTITUTE(UPPER($B$2:$B101),CHAR(160),""))=TRIM(SUBSTITUTE(UPPER(B101),CHAR(160),"")))*
       (TRIM(SUBSTITUTE(UPPER($C$2:$C101),CHAR(160),""))=TRIM(SUBSTITUTE(UPPER(C101),CHAR(160),"")))*
       (TRIM(SUBSTITUTE(UPPER($D$2:$D101),CHAR(160),""))=TRIM(SUBSTITUTE(UPPER(D101),CHAR(160),"")))*
       (TRIM(SUBSTITUTE(UPPER($E$2:$E101),CHAR(160),""))=TRIM(SUBSTITUTE(UPPER(E101),CHAR(160),"")))
     )
  ),
  0
)</f>
        <v>0</v>
      </c>
      <c r="H101" s="8" cm="1">
        <f t="array" ref="H101">IFERROR(
  IF(D101&lt;&gt;"Geoffroy",
     0,
     SUMPRODUCT(
       (TRIM(SUBSTITUTE(UPPER($B$2:$B101),CHAR(160),""))=TRIM(SUBSTITUTE(UPPER(B101),CHAR(160),"")))*
       (TRIM(SUBSTITUTE(UPPER($C$2:$C101),CHAR(160),""))=TRIM(SUBSTITUTE(UPPER(C101),CHAR(160),"")))*
       (TRIM(SUBSTITUTE(UPPER($D$2:$D101),CHAR(160),""))=TRIM(SUBSTITUTE(UPPER(D101),CHAR(160),"")))*
       (TRIM(SUBSTITUTE(UPPER($E$2:$E101),CHAR(160),""))=TRIM(SUBSTITUTE(UPPER(E101),CHAR(160),"")))
     )
  ),
  0
)</f>
        <v>0</v>
      </c>
      <c r="I101" s="8" cm="1">
        <f t="array" ref="I101">IFERROR(
  IF(D101&lt;&gt;"Tiphaine",
     0,
     SUMPRODUCT(
       (TRIM(SUBSTITUTE(UPPER($B$2:$B101),CHAR(160),""))=TRIM(SUBSTITUTE(UPPER(B101),CHAR(160),"")))*
       (TRIM(SUBSTITUTE(UPPER($C$2:$C101),CHAR(160),""))=TRIM(SUBSTITUTE(UPPER(C101),CHAR(160),"")))*
       (TRIM(SUBSTITUTE(UPPER($D$2:$D101),CHAR(160),""))=TRIM(SUBSTITUTE(UPPER(D101),CHAR(160),"")))*
       (TRIM(SUBSTITUTE(UPPER($E$2:$E101),CHAR(160),""))=TRIM(SUBSTITUTE(UPPER(E101),CHAR(160),"")))
     )
  ),
  0
)</f>
        <v>0</v>
      </c>
      <c r="J101" s="8" cm="1">
        <f t="array" ref="J101">IFERROR(
  IF(D101&lt;&gt;"Catherine",
     0,
     SUMPRODUCT(
       (TRIM(SUBSTITUTE(UPPER($B$2:$B101),CHAR(160),""))=TRIM(SUBSTITUTE(UPPER(B101),CHAR(160),"")))*
       (TRIM(SUBSTITUTE(UPPER($C$2:$C101),CHAR(160),""))=TRIM(SUBSTITUTE(UPPER(C101),CHAR(160),"")))*
       (TRIM(SUBSTITUTE(UPPER($D$2:$D101),CHAR(160),""))=TRIM(SUBSTITUTE(UPPER(D101),CHAR(160),"")))*
       (TRIM(SUBSTITUTE(UPPER($E$2:$E101),CHAR(160),""))=TRIM(SUBSTITUTE(UPPER(E101),CHAR(160),"")))
     )
  ),
  0
)</f>
        <v>0</v>
      </c>
      <c r="K101" s="9">
        <f>IFERROR(
  IF(
    D101&lt;&gt;"Cédric",
    0,
    IF(
      C101="",
      IF(
        COUNTIFS($B$2:B101,B101,$E$2:E101,E101,$D$2:D101,D101)=1,
        INDEX([1]DB!$A:$A,MATCH($E101,[1]DB!$D:$D,0)),
        IF(
          COUNTIFS($B$2:B101,B101,$E$2:E101,E101,$D$2:D101,D101)=2,
          INDEX([1]DB!$B:$B,MATCH($E101,[1]DB!$D:$D,0)),
          INDEX([1]DB!$C:$C,MATCH($E101,[1]DB!$D:$D,0))
        )
      ),
      IF(
        COUNTIFS($C$2:C101,C101,$E$2:E101,E101,$D$2:D101,D101)=1,
        INDEX([1]DB!$A:$A,MATCH($E101,[1]DB!$D:$D,0)),
        IF(
          COUNTIFS($C$2:C101,C101,$E$2:E101,E101,$D$2:D101,D101)=2,
          INDEX([1]DB!$B:$B,MATCH($E101,[1]DB!$D:$D,0)),
          INDEX([1]DB!$C:$C,MATCH($E101,[1]DB!$D:$D,0))
        )
      )
    )
  ),
  0
)</f>
        <v>0</v>
      </c>
      <c r="L101" s="9">
        <f>IFERROR(
  IF(
    D101&lt;&gt;"Geoffroy",
    0,
    IF(
      C101="",
      IF(
        COUNTIFS($B$2:B101,B101,$E$2:E101,E101,$D$2:D101,D101)=1,
        INDEX([1]DB!$A:$A,MATCH($E101,[1]DB!$D:$D,0)),
        IF(
          COUNTIFS($B$2:B101,B101,$E$2:E101,E101,$D$2:D101,D101)=2,
          INDEX([1]DB!$B:$B,MATCH($E101,[1]DB!$D:$D,0)),
          INDEX([1]DB!$C:$C,MATCH($E101,[1]DB!$D:$D,0))
        )
      ),
      IF(
        COUNTIFS($C$2:C101,C101,$E$2:E101,E101,$D$2:D101,D101)=1,
        INDEX([1]DB!$A:$A,MATCH($E101,[1]DB!$D:$D,0)),
        IF(
          COUNTIFS($C$2:C101,C101,$E$2:E101,E101,$D$2:D101,D101)=2,
          INDEX([1]DB!$B:$B,MATCH($E101,[1]DB!$D:$D,0)),
          INDEX([1]DB!$C:$C,MATCH($E101,[1]DB!$D:$D,0))
        )
      )
    )
  ),
  0
)</f>
        <v>0</v>
      </c>
      <c r="M101" s="9">
        <f>IFERROR(
  IF(
    D101&lt;&gt;"Tiphaine",
    0,
    IF(
      C101="",
      IF(
        COUNTIFS($B$2:B101,B101,$E$2:E101,E101,$D$2:D101,D101)=1,
        INDEX([1]DB!$A:$A,MATCH($E101,[1]DB!$D:$D,0)),
        IF(
          COUNTIFS($B$2:B101,B101,$E$2:E101,E101,$D$2:D101,D101)=2,
          INDEX([1]DB!$B:$B,MATCH($E101,[1]DB!$D:$D,0)),
          INDEX([1]DB!$C:$C,MATCH($E101,[1]DB!$D:$D,0))
        )
      ),
      IF(
        COUNTIFS($C$2:C101,C101,$E$2:E101,E101,$D$2:D101,D101)=1,
        INDEX([1]DB!$A:$A,MATCH($E101,[1]DB!$D:$D,0)),
        IF(
          COUNTIFS($C$2:C101,C101,$E$2:E101,E101,$D$2:D101,D101)=2,
          INDEX([1]DB!$B:$B,MATCH($E101,[1]DB!$D:$D,0)),
          INDEX([1]DB!$C:$C,MATCH($E101,[1]DB!$D:$D,0))
        )
      )
    )
  ),
  0
)</f>
        <v>0</v>
      </c>
      <c r="N101" s="9">
        <f>IFERROR(
  IF(
    D101&lt;&gt;"Catherine",
    0,
    IF(
      C101="",
      IF(
        COUNTIFS($B$2:B101,B101,$E$2:E101,E101,$D$2:D101,D101)=1,
        INDEX([1]DB!$A:$A,MATCH($E101,[1]DB!$D:$D,0)),
        IF(
          COUNTIFS($B$2:B101,B101,$E$2:E101,E101,$D$2:D101,D101)=2,
          INDEX([1]DB!$B:$B,MATCH($E101,[1]DB!$D:$D,0)),
          INDEX([1]DB!$C:$C,MATCH($E101,[1]DB!$D:$D,0))
        )
      ),
      IF(
        COUNTIFS($C$2:C101,C101,$E$2:E101,E101,$D$2:D101,D101)=1,
        INDEX([1]DB!$A:$A,MATCH($E101,[1]DB!$D:$D,0)),
        IF(
          COUNTIFS($C$2:C101,C101,$E$2:E101,E101,$D$2:D101,D101)=2,
          INDEX([1]DB!$B:$B,MATCH($E101,[1]DB!$D:$D,0)),
          INDEX([1]DB!$C:$C,MATCH($E101,[1]DB!$D:$D,0))
        )
      )
    )
  ),
  0
)</f>
        <v>0</v>
      </c>
      <c r="O101" s="5" t="str">
        <f>IF(DAY(A101)&lt;=15,UPPER(LEFT(TEXT(A101,"mmmm"),1))&amp;RIGHT(TEXT(A101,"mmmm"),LEN(TEXT(A101,"mmmm"))-1),UPPER(LEFT(TEXT(DATE(YEAR(A101),MONTH(A101)+1,1),"mmmm"),1))&amp;RIGHT(TEXT(DATE(YEAR(A101),MONTH(A101)+1,1),"mmmm"),LEN(TEXT(DATE(YEAR(A101),MONTH(A101)+1,1),"mmmm"))-1))</f>
        <v>Janvier</v>
      </c>
      <c r="P101" s="6" t="str">
        <f ca="1">IF(AND(A101&lt;=TODAY(),F101&lt;&gt;""),"OK","NON")</f>
        <v>NON</v>
      </c>
    </row>
    <row r="102" spans="1:16">
      <c r="A102" s="4"/>
      <c r="B102" s="5"/>
      <c r="C102" s="5"/>
      <c r="D102" s="6"/>
      <c r="E102" s="6"/>
      <c r="F102" s="7"/>
      <c r="G102" s="8" cm="1">
        <f t="array" ref="G102">IFERROR(
  IF(D102&lt;&gt;"Cédric",
     0,
     SUMPRODUCT(
       (TRIM(SUBSTITUTE(UPPER($B$2:$B102),CHAR(160),""))=TRIM(SUBSTITUTE(UPPER(B102),CHAR(160),"")))*
       (TRIM(SUBSTITUTE(UPPER($C$2:$C102),CHAR(160),""))=TRIM(SUBSTITUTE(UPPER(C102),CHAR(160),"")))*
       (TRIM(SUBSTITUTE(UPPER($D$2:$D102),CHAR(160),""))=TRIM(SUBSTITUTE(UPPER(D102),CHAR(160),"")))*
       (TRIM(SUBSTITUTE(UPPER($E$2:$E102),CHAR(160),""))=TRIM(SUBSTITUTE(UPPER(E102),CHAR(160),"")))
     )
  ),
  0
)</f>
        <v>0</v>
      </c>
      <c r="H102" s="8" cm="1">
        <f t="array" ref="H102">IFERROR(
  IF(D102&lt;&gt;"Geoffroy",
     0,
     SUMPRODUCT(
       (TRIM(SUBSTITUTE(UPPER($B$2:$B102),CHAR(160),""))=TRIM(SUBSTITUTE(UPPER(B102),CHAR(160),"")))*
       (TRIM(SUBSTITUTE(UPPER($C$2:$C102),CHAR(160),""))=TRIM(SUBSTITUTE(UPPER(C102),CHAR(160),"")))*
       (TRIM(SUBSTITUTE(UPPER($D$2:$D102),CHAR(160),""))=TRIM(SUBSTITUTE(UPPER(D102),CHAR(160),"")))*
       (TRIM(SUBSTITUTE(UPPER($E$2:$E102),CHAR(160),""))=TRIM(SUBSTITUTE(UPPER(E102),CHAR(160),"")))
     )
  ),
  0
)</f>
        <v>0</v>
      </c>
      <c r="I102" s="8" cm="1">
        <f t="array" ref="I102">IFERROR(
  IF(D102&lt;&gt;"Tiphaine",
     0,
     SUMPRODUCT(
       (TRIM(SUBSTITUTE(UPPER($B$2:$B102),CHAR(160),""))=TRIM(SUBSTITUTE(UPPER(B102),CHAR(160),"")))*
       (TRIM(SUBSTITUTE(UPPER($C$2:$C102),CHAR(160),""))=TRIM(SUBSTITUTE(UPPER(C102),CHAR(160),"")))*
       (TRIM(SUBSTITUTE(UPPER($D$2:$D102),CHAR(160),""))=TRIM(SUBSTITUTE(UPPER(D102),CHAR(160),"")))*
       (TRIM(SUBSTITUTE(UPPER($E$2:$E102),CHAR(160),""))=TRIM(SUBSTITUTE(UPPER(E102),CHAR(160),"")))
     )
  ),
  0
)</f>
        <v>0</v>
      </c>
      <c r="J102" s="8" cm="1">
        <f t="array" ref="J102">IFERROR(
  IF(D102&lt;&gt;"Catherine",
     0,
     SUMPRODUCT(
       (TRIM(SUBSTITUTE(UPPER($B$2:$B102),CHAR(160),""))=TRIM(SUBSTITUTE(UPPER(B102),CHAR(160),"")))*
       (TRIM(SUBSTITUTE(UPPER($C$2:$C102),CHAR(160),""))=TRIM(SUBSTITUTE(UPPER(C102),CHAR(160),"")))*
       (TRIM(SUBSTITUTE(UPPER($D$2:$D102),CHAR(160),""))=TRIM(SUBSTITUTE(UPPER(D102),CHAR(160),"")))*
       (TRIM(SUBSTITUTE(UPPER($E$2:$E102),CHAR(160),""))=TRIM(SUBSTITUTE(UPPER(E102),CHAR(160),"")))
     )
  ),
  0
)</f>
        <v>0</v>
      </c>
      <c r="K102" s="9">
        <f>IFERROR(
  IF(
    D102&lt;&gt;"Cédric",
    0,
    IF(
      C102="",
      IF(
        COUNTIFS($B$2:B102,B102,$E$2:E102,E102,$D$2:D102,D102)=1,
        INDEX([1]DB!$A:$A,MATCH($E102,[1]DB!$D:$D,0)),
        IF(
          COUNTIFS($B$2:B102,B102,$E$2:E102,E102,$D$2:D102,D102)=2,
          INDEX([1]DB!$B:$B,MATCH($E102,[1]DB!$D:$D,0)),
          INDEX([1]DB!$C:$C,MATCH($E102,[1]DB!$D:$D,0))
        )
      ),
      IF(
        COUNTIFS($C$2:C102,C102,$E$2:E102,E102,$D$2:D102,D102)=1,
        INDEX([1]DB!$A:$A,MATCH($E102,[1]DB!$D:$D,0)),
        IF(
          COUNTIFS($C$2:C102,C102,$E$2:E102,E102,$D$2:D102,D102)=2,
          INDEX([1]DB!$B:$B,MATCH($E102,[1]DB!$D:$D,0)),
          INDEX([1]DB!$C:$C,MATCH($E102,[1]DB!$D:$D,0))
        )
      )
    )
  ),
  0
)</f>
        <v>0</v>
      </c>
      <c r="L102" s="9">
        <f>IFERROR(
  IF(
    D102&lt;&gt;"Geoffroy",
    0,
    IF(
      C102="",
      IF(
        COUNTIFS($B$2:B102,B102,$E$2:E102,E102,$D$2:D102,D102)=1,
        INDEX([1]DB!$A:$A,MATCH($E102,[1]DB!$D:$D,0)),
        IF(
          COUNTIFS($B$2:B102,B102,$E$2:E102,E102,$D$2:D102,D102)=2,
          INDEX([1]DB!$B:$B,MATCH($E102,[1]DB!$D:$D,0)),
          INDEX([1]DB!$C:$C,MATCH($E102,[1]DB!$D:$D,0))
        )
      ),
      IF(
        COUNTIFS($C$2:C102,C102,$E$2:E102,E102,$D$2:D102,D102)=1,
        INDEX([1]DB!$A:$A,MATCH($E102,[1]DB!$D:$D,0)),
        IF(
          COUNTIFS($C$2:C102,C102,$E$2:E102,E102,$D$2:D102,D102)=2,
          INDEX([1]DB!$B:$B,MATCH($E102,[1]DB!$D:$D,0)),
          INDEX([1]DB!$C:$C,MATCH($E102,[1]DB!$D:$D,0))
        )
      )
    )
  ),
  0
)</f>
        <v>0</v>
      </c>
      <c r="M102" s="9">
        <f>IFERROR(
  IF(
    D102&lt;&gt;"Tiphaine",
    0,
    IF(
      C102="",
      IF(
        COUNTIFS($B$2:B102,B102,$E$2:E102,E102,$D$2:D102,D102)=1,
        INDEX([1]DB!$A:$A,MATCH($E102,[1]DB!$D:$D,0)),
        IF(
          COUNTIFS($B$2:B102,B102,$E$2:E102,E102,$D$2:D102,D102)=2,
          INDEX([1]DB!$B:$B,MATCH($E102,[1]DB!$D:$D,0)),
          INDEX([1]DB!$C:$C,MATCH($E102,[1]DB!$D:$D,0))
        )
      ),
      IF(
        COUNTIFS($C$2:C102,C102,$E$2:E102,E102,$D$2:D102,D102)=1,
        INDEX([1]DB!$A:$A,MATCH($E102,[1]DB!$D:$D,0)),
        IF(
          COUNTIFS($C$2:C102,C102,$E$2:E102,E102,$D$2:D102,D102)=2,
          INDEX([1]DB!$B:$B,MATCH($E102,[1]DB!$D:$D,0)),
          INDEX([1]DB!$C:$C,MATCH($E102,[1]DB!$D:$D,0))
        )
      )
    )
  ),
  0
)</f>
        <v>0</v>
      </c>
      <c r="N102" s="9">
        <f>IFERROR(
  IF(
    D102&lt;&gt;"Catherine",
    0,
    IF(
      C102="",
      IF(
        COUNTIFS($B$2:B102,B102,$E$2:E102,E102,$D$2:D102,D102)=1,
        INDEX([1]DB!$A:$A,MATCH($E102,[1]DB!$D:$D,0)),
        IF(
          COUNTIFS($B$2:B102,B102,$E$2:E102,E102,$D$2:D102,D102)=2,
          INDEX([1]DB!$B:$B,MATCH($E102,[1]DB!$D:$D,0)),
          INDEX([1]DB!$C:$C,MATCH($E102,[1]DB!$D:$D,0))
        )
      ),
      IF(
        COUNTIFS($C$2:C102,C102,$E$2:E102,E102,$D$2:D102,D102)=1,
        INDEX([1]DB!$A:$A,MATCH($E102,[1]DB!$D:$D,0)),
        IF(
          COUNTIFS($C$2:C102,C102,$E$2:E102,E102,$D$2:D102,D102)=2,
          INDEX([1]DB!$B:$B,MATCH($E102,[1]DB!$D:$D,0)),
          INDEX([1]DB!$C:$C,MATCH($E102,[1]DB!$D:$D,0))
        )
      )
    )
  ),
  0
)</f>
        <v>0</v>
      </c>
      <c r="O102" s="5" t="str">
        <f>IF(DAY(A102)&lt;=15,UPPER(LEFT(TEXT(A102,"mmmm"),1))&amp;RIGHT(TEXT(A102,"mmmm"),LEN(TEXT(A102,"mmmm"))-1),UPPER(LEFT(TEXT(DATE(YEAR(A102),MONTH(A102)+1,1),"mmmm"),1))&amp;RIGHT(TEXT(DATE(YEAR(A102),MONTH(A102)+1,1),"mmmm"),LEN(TEXT(DATE(YEAR(A102),MONTH(A102)+1,1),"mmmm"))-1))</f>
        <v>Janvier</v>
      </c>
      <c r="P102" s="6" t="str">
        <f ca="1">IF(AND(A102&lt;=TODAY(),F102&lt;&gt;""),"OK","NON")</f>
        <v>NON</v>
      </c>
    </row>
    <row r="103" spans="1:16">
      <c r="A103" s="4"/>
      <c r="B103" s="5"/>
      <c r="C103" s="5"/>
      <c r="D103" s="6"/>
      <c r="E103" s="6"/>
      <c r="F103" s="7"/>
      <c r="G103" s="8" cm="1">
        <f t="array" ref="G103">IFERROR(
  IF(D103&lt;&gt;"Cédric",
     0,
     SUMPRODUCT(
       (TRIM(SUBSTITUTE(UPPER($B$2:$B103),CHAR(160),""))=TRIM(SUBSTITUTE(UPPER(B103),CHAR(160),"")))*
       (TRIM(SUBSTITUTE(UPPER($C$2:$C103),CHAR(160),""))=TRIM(SUBSTITUTE(UPPER(C103),CHAR(160),"")))*
       (TRIM(SUBSTITUTE(UPPER($D$2:$D103),CHAR(160),""))=TRIM(SUBSTITUTE(UPPER(D103),CHAR(160),"")))*
       (TRIM(SUBSTITUTE(UPPER($E$2:$E103),CHAR(160),""))=TRIM(SUBSTITUTE(UPPER(E103),CHAR(160),"")))
     )
  ),
  0
)</f>
        <v>0</v>
      </c>
      <c r="H103" s="8" cm="1">
        <f t="array" ref="H103">IFERROR(
  IF(D103&lt;&gt;"Geoffroy",
     0,
     SUMPRODUCT(
       (TRIM(SUBSTITUTE(UPPER($B$2:$B103),CHAR(160),""))=TRIM(SUBSTITUTE(UPPER(B103),CHAR(160),"")))*
       (TRIM(SUBSTITUTE(UPPER($C$2:$C103),CHAR(160),""))=TRIM(SUBSTITUTE(UPPER(C103),CHAR(160),"")))*
       (TRIM(SUBSTITUTE(UPPER($D$2:$D103),CHAR(160),""))=TRIM(SUBSTITUTE(UPPER(D103),CHAR(160),"")))*
       (TRIM(SUBSTITUTE(UPPER($E$2:$E103),CHAR(160),""))=TRIM(SUBSTITUTE(UPPER(E103),CHAR(160),"")))
     )
  ),
  0
)</f>
        <v>0</v>
      </c>
      <c r="I103" s="8" cm="1">
        <f t="array" ref="I103">IFERROR(
  IF(D103&lt;&gt;"Tiphaine",
     0,
     SUMPRODUCT(
       (TRIM(SUBSTITUTE(UPPER($B$2:$B103),CHAR(160),""))=TRIM(SUBSTITUTE(UPPER(B103),CHAR(160),"")))*
       (TRIM(SUBSTITUTE(UPPER($C$2:$C103),CHAR(160),""))=TRIM(SUBSTITUTE(UPPER(C103),CHAR(160),"")))*
       (TRIM(SUBSTITUTE(UPPER($D$2:$D103),CHAR(160),""))=TRIM(SUBSTITUTE(UPPER(D103),CHAR(160),"")))*
       (TRIM(SUBSTITUTE(UPPER($E$2:$E103),CHAR(160),""))=TRIM(SUBSTITUTE(UPPER(E103),CHAR(160),"")))
     )
  ),
  0
)</f>
        <v>0</v>
      </c>
      <c r="J103" s="8" cm="1">
        <f t="array" ref="J103">IFERROR(
  IF(D103&lt;&gt;"Catherine",
     0,
     SUMPRODUCT(
       (TRIM(SUBSTITUTE(UPPER($B$2:$B103),CHAR(160),""))=TRIM(SUBSTITUTE(UPPER(B103),CHAR(160),"")))*
       (TRIM(SUBSTITUTE(UPPER($C$2:$C103),CHAR(160),""))=TRIM(SUBSTITUTE(UPPER(C103),CHAR(160),"")))*
       (TRIM(SUBSTITUTE(UPPER($D$2:$D103),CHAR(160),""))=TRIM(SUBSTITUTE(UPPER(D103),CHAR(160),"")))*
       (TRIM(SUBSTITUTE(UPPER($E$2:$E103),CHAR(160),""))=TRIM(SUBSTITUTE(UPPER(E103),CHAR(160),"")))
     )
  ),
  0
)</f>
        <v>0</v>
      </c>
      <c r="K103" s="9">
        <f>IFERROR(
  IF(
    D103&lt;&gt;"Cédric",
    0,
    IF(
      C103="",
      IF(
        COUNTIFS($B$2:B103,B103,$E$2:E103,E103,$D$2:D103,D103)=1,
        INDEX([1]DB!$A:$A,MATCH($E103,[1]DB!$D:$D,0)),
        IF(
          COUNTIFS($B$2:B103,B103,$E$2:E103,E103,$D$2:D103,D103)=2,
          INDEX([1]DB!$B:$B,MATCH($E103,[1]DB!$D:$D,0)),
          INDEX([1]DB!$C:$C,MATCH($E103,[1]DB!$D:$D,0))
        )
      ),
      IF(
        COUNTIFS($C$2:C103,C103,$E$2:E103,E103,$D$2:D103,D103)=1,
        INDEX([1]DB!$A:$A,MATCH($E103,[1]DB!$D:$D,0)),
        IF(
          COUNTIFS($C$2:C103,C103,$E$2:E103,E103,$D$2:D103,D103)=2,
          INDEX([1]DB!$B:$B,MATCH($E103,[1]DB!$D:$D,0)),
          INDEX([1]DB!$C:$C,MATCH($E103,[1]DB!$D:$D,0))
        )
      )
    )
  ),
  0
)</f>
        <v>0</v>
      </c>
      <c r="L103" s="9">
        <f>IFERROR(
  IF(
    D103&lt;&gt;"Geoffroy",
    0,
    IF(
      C103="",
      IF(
        COUNTIFS($B$2:B103,B103,$E$2:E103,E103,$D$2:D103,D103)=1,
        INDEX([1]DB!$A:$A,MATCH($E103,[1]DB!$D:$D,0)),
        IF(
          COUNTIFS($B$2:B103,B103,$E$2:E103,E103,$D$2:D103,D103)=2,
          INDEX([1]DB!$B:$B,MATCH($E103,[1]DB!$D:$D,0)),
          INDEX([1]DB!$C:$C,MATCH($E103,[1]DB!$D:$D,0))
        )
      ),
      IF(
        COUNTIFS($C$2:C103,C103,$E$2:E103,E103,$D$2:D103,D103)=1,
        INDEX([1]DB!$A:$A,MATCH($E103,[1]DB!$D:$D,0)),
        IF(
          COUNTIFS($C$2:C103,C103,$E$2:E103,E103,$D$2:D103,D103)=2,
          INDEX([1]DB!$B:$B,MATCH($E103,[1]DB!$D:$D,0)),
          INDEX([1]DB!$C:$C,MATCH($E103,[1]DB!$D:$D,0))
        )
      )
    )
  ),
  0
)</f>
        <v>0</v>
      </c>
      <c r="M103" s="9">
        <f>IFERROR(
  IF(
    D103&lt;&gt;"Tiphaine",
    0,
    IF(
      C103="",
      IF(
        COUNTIFS($B$2:B103,B103,$E$2:E103,E103,$D$2:D103,D103)=1,
        INDEX([1]DB!$A:$A,MATCH($E103,[1]DB!$D:$D,0)),
        IF(
          COUNTIFS($B$2:B103,B103,$E$2:E103,E103,$D$2:D103,D103)=2,
          INDEX([1]DB!$B:$B,MATCH($E103,[1]DB!$D:$D,0)),
          INDEX([1]DB!$C:$C,MATCH($E103,[1]DB!$D:$D,0))
        )
      ),
      IF(
        COUNTIFS($C$2:C103,C103,$E$2:E103,E103,$D$2:D103,D103)=1,
        INDEX([1]DB!$A:$A,MATCH($E103,[1]DB!$D:$D,0)),
        IF(
          COUNTIFS($C$2:C103,C103,$E$2:E103,E103,$D$2:D103,D103)=2,
          INDEX([1]DB!$B:$B,MATCH($E103,[1]DB!$D:$D,0)),
          INDEX([1]DB!$C:$C,MATCH($E103,[1]DB!$D:$D,0))
        )
      )
    )
  ),
  0
)</f>
        <v>0</v>
      </c>
      <c r="N103" s="9">
        <f>IFERROR(
  IF(
    D103&lt;&gt;"Catherine",
    0,
    IF(
      C103="",
      IF(
        COUNTIFS($B$2:B103,B103,$E$2:E103,E103,$D$2:D103,D103)=1,
        INDEX([1]DB!$A:$A,MATCH($E103,[1]DB!$D:$D,0)),
        IF(
          COUNTIFS($B$2:B103,B103,$E$2:E103,E103,$D$2:D103,D103)=2,
          INDEX([1]DB!$B:$B,MATCH($E103,[1]DB!$D:$D,0)),
          INDEX([1]DB!$C:$C,MATCH($E103,[1]DB!$D:$D,0))
        )
      ),
      IF(
        COUNTIFS($C$2:C103,C103,$E$2:E103,E103,$D$2:D103,D103)=1,
        INDEX([1]DB!$A:$A,MATCH($E103,[1]DB!$D:$D,0)),
        IF(
          COUNTIFS($C$2:C103,C103,$E$2:E103,E103,$D$2:D103,D103)=2,
          INDEX([1]DB!$B:$B,MATCH($E103,[1]DB!$D:$D,0)),
          INDEX([1]DB!$C:$C,MATCH($E103,[1]DB!$D:$D,0))
        )
      )
    )
  ),
  0
)</f>
        <v>0</v>
      </c>
      <c r="O103" s="5" t="str">
        <f>IF(DAY(A103)&lt;=15,UPPER(LEFT(TEXT(A103,"mmmm"),1))&amp;RIGHT(TEXT(A103,"mmmm"),LEN(TEXT(A103,"mmmm"))-1),UPPER(LEFT(TEXT(DATE(YEAR(A103),MONTH(A103)+1,1),"mmmm"),1))&amp;RIGHT(TEXT(DATE(YEAR(A103),MONTH(A103)+1,1),"mmmm"),LEN(TEXT(DATE(YEAR(A103),MONTH(A103)+1,1),"mmmm"))-1))</f>
        <v>Janvier</v>
      </c>
      <c r="P103" s="6" t="str">
        <f ca="1">IF(AND(A103&lt;=TODAY(),F103&lt;&gt;""),"OK","NON")</f>
        <v>NON</v>
      </c>
    </row>
    <row r="104" spans="1:16">
      <c r="A104" s="4"/>
      <c r="B104" s="5"/>
      <c r="C104" s="5"/>
      <c r="D104" s="6"/>
      <c r="E104" s="6"/>
      <c r="F104" s="7"/>
      <c r="G104" s="8" cm="1">
        <f t="array" ref="G104">IFERROR(
  IF(D104&lt;&gt;"Cédric",
     0,
     SUMPRODUCT(
       (TRIM(SUBSTITUTE(UPPER($B$2:$B104),CHAR(160),""))=TRIM(SUBSTITUTE(UPPER(B104),CHAR(160),"")))*
       (TRIM(SUBSTITUTE(UPPER($C$2:$C104),CHAR(160),""))=TRIM(SUBSTITUTE(UPPER(C104),CHAR(160),"")))*
       (TRIM(SUBSTITUTE(UPPER($D$2:$D104),CHAR(160),""))=TRIM(SUBSTITUTE(UPPER(D104),CHAR(160),"")))*
       (TRIM(SUBSTITUTE(UPPER($E$2:$E104),CHAR(160),""))=TRIM(SUBSTITUTE(UPPER(E104),CHAR(160),"")))
     )
  ),
  0
)</f>
        <v>0</v>
      </c>
      <c r="H104" s="8" cm="1">
        <f t="array" ref="H104">IFERROR(
  IF(D104&lt;&gt;"Geoffroy",
     0,
     SUMPRODUCT(
       (TRIM(SUBSTITUTE(UPPER($B$2:$B104),CHAR(160),""))=TRIM(SUBSTITUTE(UPPER(B104),CHAR(160),"")))*
       (TRIM(SUBSTITUTE(UPPER($C$2:$C104),CHAR(160),""))=TRIM(SUBSTITUTE(UPPER(C104),CHAR(160),"")))*
       (TRIM(SUBSTITUTE(UPPER($D$2:$D104),CHAR(160),""))=TRIM(SUBSTITUTE(UPPER(D104),CHAR(160),"")))*
       (TRIM(SUBSTITUTE(UPPER($E$2:$E104),CHAR(160),""))=TRIM(SUBSTITUTE(UPPER(E104),CHAR(160),"")))
     )
  ),
  0
)</f>
        <v>0</v>
      </c>
      <c r="I104" s="8" cm="1">
        <f t="array" ref="I104">IFERROR(
  IF(D104&lt;&gt;"Tiphaine",
     0,
     SUMPRODUCT(
       (TRIM(SUBSTITUTE(UPPER($B$2:$B104),CHAR(160),""))=TRIM(SUBSTITUTE(UPPER(B104),CHAR(160),"")))*
       (TRIM(SUBSTITUTE(UPPER($C$2:$C104),CHAR(160),""))=TRIM(SUBSTITUTE(UPPER(C104),CHAR(160),"")))*
       (TRIM(SUBSTITUTE(UPPER($D$2:$D104),CHAR(160),""))=TRIM(SUBSTITUTE(UPPER(D104),CHAR(160),"")))*
       (TRIM(SUBSTITUTE(UPPER($E$2:$E104),CHAR(160),""))=TRIM(SUBSTITUTE(UPPER(E104),CHAR(160),"")))
     )
  ),
  0
)</f>
        <v>0</v>
      </c>
      <c r="J104" s="8" cm="1">
        <f t="array" ref="J104">IFERROR(
  IF(D104&lt;&gt;"Catherine",
     0,
     SUMPRODUCT(
       (TRIM(SUBSTITUTE(UPPER($B$2:$B104),CHAR(160),""))=TRIM(SUBSTITUTE(UPPER(B104),CHAR(160),"")))*
       (TRIM(SUBSTITUTE(UPPER($C$2:$C104),CHAR(160),""))=TRIM(SUBSTITUTE(UPPER(C104),CHAR(160),"")))*
       (TRIM(SUBSTITUTE(UPPER($D$2:$D104),CHAR(160),""))=TRIM(SUBSTITUTE(UPPER(D104),CHAR(160),"")))*
       (TRIM(SUBSTITUTE(UPPER($E$2:$E104),CHAR(160),""))=TRIM(SUBSTITUTE(UPPER(E104),CHAR(160),"")))
     )
  ),
  0
)</f>
        <v>0</v>
      </c>
      <c r="K104" s="9">
        <f>IFERROR(
  IF(
    D104&lt;&gt;"Cédric",
    0,
    IF(
      C104="",
      IF(
        COUNTIFS($B$2:B104,B104,$E$2:E104,E104,$D$2:D104,D104)=1,
        INDEX([1]DB!$A:$A,MATCH($E104,[1]DB!$D:$D,0)),
        IF(
          COUNTIFS($B$2:B104,B104,$E$2:E104,E104,$D$2:D104,D104)=2,
          INDEX([1]DB!$B:$B,MATCH($E104,[1]DB!$D:$D,0)),
          INDEX([1]DB!$C:$C,MATCH($E104,[1]DB!$D:$D,0))
        )
      ),
      IF(
        COUNTIFS($C$2:C104,C104,$E$2:E104,E104,$D$2:D104,D104)=1,
        INDEX([1]DB!$A:$A,MATCH($E104,[1]DB!$D:$D,0)),
        IF(
          COUNTIFS($C$2:C104,C104,$E$2:E104,E104,$D$2:D104,D104)=2,
          INDEX([1]DB!$B:$B,MATCH($E104,[1]DB!$D:$D,0)),
          INDEX([1]DB!$C:$C,MATCH($E104,[1]DB!$D:$D,0))
        )
      )
    )
  ),
  0
)</f>
        <v>0</v>
      </c>
      <c r="L104" s="9">
        <f>IFERROR(
  IF(
    D104&lt;&gt;"Geoffroy",
    0,
    IF(
      C104="",
      IF(
        COUNTIFS($B$2:B104,B104,$E$2:E104,E104,$D$2:D104,D104)=1,
        INDEX([1]DB!$A:$A,MATCH($E104,[1]DB!$D:$D,0)),
        IF(
          COUNTIFS($B$2:B104,B104,$E$2:E104,E104,$D$2:D104,D104)=2,
          INDEX([1]DB!$B:$B,MATCH($E104,[1]DB!$D:$D,0)),
          INDEX([1]DB!$C:$C,MATCH($E104,[1]DB!$D:$D,0))
        )
      ),
      IF(
        COUNTIFS($C$2:C104,C104,$E$2:E104,E104,$D$2:D104,D104)=1,
        INDEX([1]DB!$A:$A,MATCH($E104,[1]DB!$D:$D,0)),
        IF(
          COUNTIFS($C$2:C104,C104,$E$2:E104,E104,$D$2:D104,D104)=2,
          INDEX([1]DB!$B:$B,MATCH($E104,[1]DB!$D:$D,0)),
          INDEX([1]DB!$C:$C,MATCH($E104,[1]DB!$D:$D,0))
        )
      )
    )
  ),
  0
)</f>
        <v>0</v>
      </c>
      <c r="M104" s="9">
        <f>IFERROR(
  IF(
    D104&lt;&gt;"Tiphaine",
    0,
    IF(
      C104="",
      IF(
        COUNTIFS($B$2:B104,B104,$E$2:E104,E104,$D$2:D104,D104)=1,
        INDEX([1]DB!$A:$A,MATCH($E104,[1]DB!$D:$D,0)),
        IF(
          COUNTIFS($B$2:B104,B104,$E$2:E104,E104,$D$2:D104,D104)=2,
          INDEX([1]DB!$B:$B,MATCH($E104,[1]DB!$D:$D,0)),
          INDEX([1]DB!$C:$C,MATCH($E104,[1]DB!$D:$D,0))
        )
      ),
      IF(
        COUNTIFS($C$2:C104,C104,$E$2:E104,E104,$D$2:D104,D104)=1,
        INDEX([1]DB!$A:$A,MATCH($E104,[1]DB!$D:$D,0)),
        IF(
          COUNTIFS($C$2:C104,C104,$E$2:E104,E104,$D$2:D104,D104)=2,
          INDEX([1]DB!$B:$B,MATCH($E104,[1]DB!$D:$D,0)),
          INDEX([1]DB!$C:$C,MATCH($E104,[1]DB!$D:$D,0))
        )
      )
    )
  ),
  0
)</f>
        <v>0</v>
      </c>
      <c r="N104" s="9">
        <f>IFERROR(
  IF(
    D104&lt;&gt;"Catherine",
    0,
    IF(
      C104="",
      IF(
        COUNTIFS($B$2:B104,B104,$E$2:E104,E104,$D$2:D104,D104)=1,
        INDEX([1]DB!$A:$A,MATCH($E104,[1]DB!$D:$D,0)),
        IF(
          COUNTIFS($B$2:B104,B104,$E$2:E104,E104,$D$2:D104,D104)=2,
          INDEX([1]DB!$B:$B,MATCH($E104,[1]DB!$D:$D,0)),
          INDEX([1]DB!$C:$C,MATCH($E104,[1]DB!$D:$D,0))
        )
      ),
      IF(
        COUNTIFS($C$2:C104,C104,$E$2:E104,E104,$D$2:D104,D104)=1,
        INDEX([1]DB!$A:$A,MATCH($E104,[1]DB!$D:$D,0)),
        IF(
          COUNTIFS($C$2:C104,C104,$E$2:E104,E104,$D$2:D104,D104)=2,
          INDEX([1]DB!$B:$B,MATCH($E104,[1]DB!$D:$D,0)),
          INDEX([1]DB!$C:$C,MATCH($E104,[1]DB!$D:$D,0))
        )
      )
    )
  ),
  0
)</f>
        <v>0</v>
      </c>
      <c r="O104" s="5" t="str">
        <f>IF(DAY(A104)&lt;=15,UPPER(LEFT(TEXT(A104,"mmmm"),1))&amp;RIGHT(TEXT(A104,"mmmm"),LEN(TEXT(A104,"mmmm"))-1),UPPER(LEFT(TEXT(DATE(YEAR(A104),MONTH(A104)+1,1),"mmmm"),1))&amp;RIGHT(TEXT(DATE(YEAR(A104),MONTH(A104)+1,1),"mmmm"),LEN(TEXT(DATE(YEAR(A104),MONTH(A104)+1,1),"mmmm"))-1))</f>
        <v>Janvier</v>
      </c>
      <c r="P104" s="6" t="str">
        <f ca="1">IF(AND(A104&lt;=TODAY(),F104&lt;&gt;""),"OK","NON")</f>
        <v>NON</v>
      </c>
    </row>
    <row r="105" spans="1:16">
      <c r="A105" s="4"/>
      <c r="B105" s="5"/>
      <c r="C105" s="5"/>
      <c r="D105" s="6"/>
      <c r="E105" s="6"/>
      <c r="F105" s="7"/>
      <c r="G105" s="8" cm="1">
        <f t="array" ref="G105">IFERROR(
  IF(D105&lt;&gt;"Cédric",
     0,
     SUMPRODUCT(
       (TRIM(SUBSTITUTE(UPPER($B$2:$B105),CHAR(160),""))=TRIM(SUBSTITUTE(UPPER(B105),CHAR(160),"")))*
       (TRIM(SUBSTITUTE(UPPER($C$2:$C105),CHAR(160),""))=TRIM(SUBSTITUTE(UPPER(C105),CHAR(160),"")))*
       (TRIM(SUBSTITUTE(UPPER($D$2:$D105),CHAR(160),""))=TRIM(SUBSTITUTE(UPPER(D105),CHAR(160),"")))*
       (TRIM(SUBSTITUTE(UPPER($E$2:$E105),CHAR(160),""))=TRIM(SUBSTITUTE(UPPER(E105),CHAR(160),"")))
     )
  ),
  0
)</f>
        <v>0</v>
      </c>
      <c r="H105" s="8" cm="1">
        <f t="array" ref="H105">IFERROR(
  IF(D105&lt;&gt;"Geoffroy",
     0,
     SUMPRODUCT(
       (TRIM(SUBSTITUTE(UPPER($B$2:$B105),CHAR(160),""))=TRIM(SUBSTITUTE(UPPER(B105),CHAR(160),"")))*
       (TRIM(SUBSTITUTE(UPPER($C$2:$C105),CHAR(160),""))=TRIM(SUBSTITUTE(UPPER(C105),CHAR(160),"")))*
       (TRIM(SUBSTITUTE(UPPER($D$2:$D105),CHAR(160),""))=TRIM(SUBSTITUTE(UPPER(D105),CHAR(160),"")))*
       (TRIM(SUBSTITUTE(UPPER($E$2:$E105),CHAR(160),""))=TRIM(SUBSTITUTE(UPPER(E105),CHAR(160),"")))
     )
  ),
  0
)</f>
        <v>0</v>
      </c>
      <c r="I105" s="8" cm="1">
        <f t="array" ref="I105">IFERROR(
  IF(D105&lt;&gt;"Tiphaine",
     0,
     SUMPRODUCT(
       (TRIM(SUBSTITUTE(UPPER($B$2:$B105),CHAR(160),""))=TRIM(SUBSTITUTE(UPPER(B105),CHAR(160),"")))*
       (TRIM(SUBSTITUTE(UPPER($C$2:$C105),CHAR(160),""))=TRIM(SUBSTITUTE(UPPER(C105),CHAR(160),"")))*
       (TRIM(SUBSTITUTE(UPPER($D$2:$D105),CHAR(160),""))=TRIM(SUBSTITUTE(UPPER(D105),CHAR(160),"")))*
       (TRIM(SUBSTITUTE(UPPER($E$2:$E105),CHAR(160),""))=TRIM(SUBSTITUTE(UPPER(E105),CHAR(160),"")))
     )
  ),
  0
)</f>
        <v>0</v>
      </c>
      <c r="J105" s="8" cm="1">
        <f t="array" ref="J105">IFERROR(
  IF(D105&lt;&gt;"Catherine",
     0,
     SUMPRODUCT(
       (TRIM(SUBSTITUTE(UPPER($B$2:$B105),CHAR(160),""))=TRIM(SUBSTITUTE(UPPER(B105),CHAR(160),"")))*
       (TRIM(SUBSTITUTE(UPPER($C$2:$C105),CHAR(160),""))=TRIM(SUBSTITUTE(UPPER(C105),CHAR(160),"")))*
       (TRIM(SUBSTITUTE(UPPER($D$2:$D105),CHAR(160),""))=TRIM(SUBSTITUTE(UPPER(D105),CHAR(160),"")))*
       (TRIM(SUBSTITUTE(UPPER($E$2:$E105),CHAR(160),""))=TRIM(SUBSTITUTE(UPPER(E105),CHAR(160),"")))
     )
  ),
  0
)</f>
        <v>0</v>
      </c>
      <c r="K105" s="9">
        <f>IFERROR(
  IF(
    D105&lt;&gt;"Cédric",
    0,
    IF(
      C105="",
      IF(
        COUNTIFS($B$2:B105,B105,$E$2:E105,E105,$D$2:D105,D105)=1,
        INDEX([1]DB!$A:$A,MATCH($E105,[1]DB!$D:$D,0)),
        IF(
          COUNTIFS($B$2:B105,B105,$E$2:E105,E105,$D$2:D105,D105)=2,
          INDEX([1]DB!$B:$B,MATCH($E105,[1]DB!$D:$D,0)),
          INDEX([1]DB!$C:$C,MATCH($E105,[1]DB!$D:$D,0))
        )
      ),
      IF(
        COUNTIFS($C$2:C105,C105,$E$2:E105,E105,$D$2:D105,D105)=1,
        INDEX([1]DB!$A:$A,MATCH($E105,[1]DB!$D:$D,0)),
        IF(
          COUNTIFS($C$2:C105,C105,$E$2:E105,E105,$D$2:D105,D105)=2,
          INDEX([1]DB!$B:$B,MATCH($E105,[1]DB!$D:$D,0)),
          INDEX([1]DB!$C:$C,MATCH($E105,[1]DB!$D:$D,0))
        )
      )
    )
  ),
  0
)</f>
        <v>0</v>
      </c>
      <c r="L105" s="9">
        <f>IFERROR(
  IF(
    D105&lt;&gt;"Geoffroy",
    0,
    IF(
      C105="",
      IF(
        COUNTIFS($B$2:B105,B105,$E$2:E105,E105,$D$2:D105,D105)=1,
        INDEX([1]DB!$A:$A,MATCH($E105,[1]DB!$D:$D,0)),
        IF(
          COUNTIFS($B$2:B105,B105,$E$2:E105,E105,$D$2:D105,D105)=2,
          INDEX([1]DB!$B:$B,MATCH($E105,[1]DB!$D:$D,0)),
          INDEX([1]DB!$C:$C,MATCH($E105,[1]DB!$D:$D,0))
        )
      ),
      IF(
        COUNTIFS($C$2:C105,C105,$E$2:E105,E105,$D$2:D105,D105)=1,
        INDEX([1]DB!$A:$A,MATCH($E105,[1]DB!$D:$D,0)),
        IF(
          COUNTIFS($C$2:C105,C105,$E$2:E105,E105,$D$2:D105,D105)=2,
          INDEX([1]DB!$B:$B,MATCH($E105,[1]DB!$D:$D,0)),
          INDEX([1]DB!$C:$C,MATCH($E105,[1]DB!$D:$D,0))
        )
      )
    )
  ),
  0
)</f>
        <v>0</v>
      </c>
      <c r="M105" s="9">
        <f>IFERROR(
  IF(
    D105&lt;&gt;"Tiphaine",
    0,
    IF(
      C105="",
      IF(
        COUNTIFS($B$2:B105,B105,$E$2:E105,E105,$D$2:D105,D105)=1,
        INDEX([1]DB!$A:$A,MATCH($E105,[1]DB!$D:$D,0)),
        IF(
          COUNTIFS($B$2:B105,B105,$E$2:E105,E105,$D$2:D105,D105)=2,
          INDEX([1]DB!$B:$B,MATCH($E105,[1]DB!$D:$D,0)),
          INDEX([1]DB!$C:$C,MATCH($E105,[1]DB!$D:$D,0))
        )
      ),
      IF(
        COUNTIFS($C$2:C105,C105,$E$2:E105,E105,$D$2:D105,D105)=1,
        INDEX([1]DB!$A:$A,MATCH($E105,[1]DB!$D:$D,0)),
        IF(
          COUNTIFS($C$2:C105,C105,$E$2:E105,E105,$D$2:D105,D105)=2,
          INDEX([1]DB!$B:$B,MATCH($E105,[1]DB!$D:$D,0)),
          INDEX([1]DB!$C:$C,MATCH($E105,[1]DB!$D:$D,0))
        )
      )
    )
  ),
  0
)</f>
        <v>0</v>
      </c>
      <c r="N105" s="9">
        <f>IFERROR(
  IF(
    D105&lt;&gt;"Catherine",
    0,
    IF(
      C105="",
      IF(
        COUNTIFS($B$2:B105,B105,$E$2:E105,E105,$D$2:D105,D105)=1,
        INDEX([1]DB!$A:$A,MATCH($E105,[1]DB!$D:$D,0)),
        IF(
          COUNTIFS($B$2:B105,B105,$E$2:E105,E105,$D$2:D105,D105)=2,
          INDEX([1]DB!$B:$B,MATCH($E105,[1]DB!$D:$D,0)),
          INDEX([1]DB!$C:$C,MATCH($E105,[1]DB!$D:$D,0))
        )
      ),
      IF(
        COUNTIFS($C$2:C105,C105,$E$2:E105,E105,$D$2:D105,D105)=1,
        INDEX([1]DB!$A:$A,MATCH($E105,[1]DB!$D:$D,0)),
        IF(
          COUNTIFS($C$2:C105,C105,$E$2:E105,E105,$D$2:D105,D105)=2,
          INDEX([1]DB!$B:$B,MATCH($E105,[1]DB!$D:$D,0)),
          INDEX([1]DB!$C:$C,MATCH($E105,[1]DB!$D:$D,0))
        )
      )
    )
  ),
  0
)</f>
        <v>0</v>
      </c>
      <c r="O105" s="5" t="str">
        <f>IF(DAY(A105)&lt;=15,UPPER(LEFT(TEXT(A105,"mmmm"),1))&amp;RIGHT(TEXT(A105,"mmmm"),LEN(TEXT(A105,"mmmm"))-1),UPPER(LEFT(TEXT(DATE(YEAR(A105),MONTH(A105)+1,1),"mmmm"),1))&amp;RIGHT(TEXT(DATE(YEAR(A105),MONTH(A105)+1,1),"mmmm"),LEN(TEXT(DATE(YEAR(A105),MONTH(A105)+1,1),"mmmm"))-1))</f>
        <v>Janvier</v>
      </c>
      <c r="P105" s="6" t="str">
        <f ca="1">IF(AND(A105&lt;=TODAY(),F105&lt;&gt;""),"OK","NON")</f>
        <v>NON</v>
      </c>
    </row>
    <row r="106" spans="1:16">
      <c r="A106" s="4"/>
      <c r="B106" s="5"/>
      <c r="C106" s="5"/>
      <c r="D106" s="6"/>
      <c r="E106" s="6"/>
      <c r="F106" s="7"/>
      <c r="G106" s="8" cm="1">
        <f t="array" ref="G106">IFERROR(
  IF(D106&lt;&gt;"Cédric",
     0,
     SUMPRODUCT(
       (TRIM(SUBSTITUTE(UPPER($B$2:$B106),CHAR(160),""))=TRIM(SUBSTITUTE(UPPER(B106),CHAR(160),"")))*
       (TRIM(SUBSTITUTE(UPPER($C$2:$C106),CHAR(160),""))=TRIM(SUBSTITUTE(UPPER(C106),CHAR(160),"")))*
       (TRIM(SUBSTITUTE(UPPER($D$2:$D106),CHAR(160),""))=TRIM(SUBSTITUTE(UPPER(D106),CHAR(160),"")))*
       (TRIM(SUBSTITUTE(UPPER($E$2:$E106),CHAR(160),""))=TRIM(SUBSTITUTE(UPPER(E106),CHAR(160),"")))
     )
  ),
  0
)</f>
        <v>0</v>
      </c>
      <c r="H106" s="8" cm="1">
        <f t="array" ref="H106">IFERROR(
  IF(D106&lt;&gt;"Geoffroy",
     0,
     SUMPRODUCT(
       (TRIM(SUBSTITUTE(UPPER($B$2:$B106),CHAR(160),""))=TRIM(SUBSTITUTE(UPPER(B106),CHAR(160),"")))*
       (TRIM(SUBSTITUTE(UPPER($C$2:$C106),CHAR(160),""))=TRIM(SUBSTITUTE(UPPER(C106),CHAR(160),"")))*
       (TRIM(SUBSTITUTE(UPPER($D$2:$D106),CHAR(160),""))=TRIM(SUBSTITUTE(UPPER(D106),CHAR(160),"")))*
       (TRIM(SUBSTITUTE(UPPER($E$2:$E106),CHAR(160),""))=TRIM(SUBSTITUTE(UPPER(E106),CHAR(160),"")))
     )
  ),
  0
)</f>
        <v>0</v>
      </c>
      <c r="I106" s="8" cm="1">
        <f t="array" ref="I106">IFERROR(
  IF(D106&lt;&gt;"Tiphaine",
     0,
     SUMPRODUCT(
       (TRIM(SUBSTITUTE(UPPER($B$2:$B106),CHAR(160),""))=TRIM(SUBSTITUTE(UPPER(B106),CHAR(160),"")))*
       (TRIM(SUBSTITUTE(UPPER($C$2:$C106),CHAR(160),""))=TRIM(SUBSTITUTE(UPPER(C106),CHAR(160),"")))*
       (TRIM(SUBSTITUTE(UPPER($D$2:$D106),CHAR(160),""))=TRIM(SUBSTITUTE(UPPER(D106),CHAR(160),"")))*
       (TRIM(SUBSTITUTE(UPPER($E$2:$E106),CHAR(160),""))=TRIM(SUBSTITUTE(UPPER(E106),CHAR(160),"")))
     )
  ),
  0
)</f>
        <v>0</v>
      </c>
      <c r="J106" s="8" cm="1">
        <f t="array" ref="J106">IFERROR(
  IF(D106&lt;&gt;"Catherine",
     0,
     SUMPRODUCT(
       (TRIM(SUBSTITUTE(UPPER($B$2:$B106),CHAR(160),""))=TRIM(SUBSTITUTE(UPPER(B106),CHAR(160),"")))*
       (TRIM(SUBSTITUTE(UPPER($C$2:$C106),CHAR(160),""))=TRIM(SUBSTITUTE(UPPER(C106),CHAR(160),"")))*
       (TRIM(SUBSTITUTE(UPPER($D$2:$D106),CHAR(160),""))=TRIM(SUBSTITUTE(UPPER(D106),CHAR(160),"")))*
       (TRIM(SUBSTITUTE(UPPER($E$2:$E106),CHAR(160),""))=TRIM(SUBSTITUTE(UPPER(E106),CHAR(160),"")))
     )
  ),
  0
)</f>
        <v>0</v>
      </c>
      <c r="K106" s="9">
        <f>IFERROR(
  IF(
    D106&lt;&gt;"Cédric",
    0,
    IF(
      C106="",
      IF(
        COUNTIFS($B$2:B106,B106,$E$2:E106,E106,$D$2:D106,D106)=1,
        INDEX([1]DB!$A:$A,MATCH($E106,[1]DB!$D:$D,0)),
        IF(
          COUNTIFS($B$2:B106,B106,$E$2:E106,E106,$D$2:D106,D106)=2,
          INDEX([1]DB!$B:$B,MATCH($E106,[1]DB!$D:$D,0)),
          INDEX([1]DB!$C:$C,MATCH($E106,[1]DB!$D:$D,0))
        )
      ),
      IF(
        COUNTIFS($C$2:C106,C106,$E$2:E106,E106,$D$2:D106,D106)=1,
        INDEX([1]DB!$A:$A,MATCH($E106,[1]DB!$D:$D,0)),
        IF(
          COUNTIFS($C$2:C106,C106,$E$2:E106,E106,$D$2:D106,D106)=2,
          INDEX([1]DB!$B:$B,MATCH($E106,[1]DB!$D:$D,0)),
          INDEX([1]DB!$C:$C,MATCH($E106,[1]DB!$D:$D,0))
        )
      )
    )
  ),
  0
)</f>
        <v>0</v>
      </c>
      <c r="L106" s="9">
        <f>IFERROR(
  IF(
    D106&lt;&gt;"Geoffroy",
    0,
    IF(
      C106="",
      IF(
        COUNTIFS($B$2:B106,B106,$E$2:E106,E106,$D$2:D106,D106)=1,
        INDEX([1]DB!$A:$A,MATCH($E106,[1]DB!$D:$D,0)),
        IF(
          COUNTIFS($B$2:B106,B106,$E$2:E106,E106,$D$2:D106,D106)=2,
          INDEX([1]DB!$B:$B,MATCH($E106,[1]DB!$D:$D,0)),
          INDEX([1]DB!$C:$C,MATCH($E106,[1]DB!$D:$D,0))
        )
      ),
      IF(
        COUNTIFS($C$2:C106,C106,$E$2:E106,E106,$D$2:D106,D106)=1,
        INDEX([1]DB!$A:$A,MATCH($E106,[1]DB!$D:$D,0)),
        IF(
          COUNTIFS($C$2:C106,C106,$E$2:E106,E106,$D$2:D106,D106)=2,
          INDEX([1]DB!$B:$B,MATCH($E106,[1]DB!$D:$D,0)),
          INDEX([1]DB!$C:$C,MATCH($E106,[1]DB!$D:$D,0))
        )
      )
    )
  ),
  0
)</f>
        <v>0</v>
      </c>
      <c r="M106" s="9">
        <f>IFERROR(
  IF(
    D106&lt;&gt;"Tiphaine",
    0,
    IF(
      C106="",
      IF(
        COUNTIFS($B$2:B106,B106,$E$2:E106,E106,$D$2:D106,D106)=1,
        INDEX([1]DB!$A:$A,MATCH($E106,[1]DB!$D:$D,0)),
        IF(
          COUNTIFS($B$2:B106,B106,$E$2:E106,E106,$D$2:D106,D106)=2,
          INDEX([1]DB!$B:$B,MATCH($E106,[1]DB!$D:$D,0)),
          INDEX([1]DB!$C:$C,MATCH($E106,[1]DB!$D:$D,0))
        )
      ),
      IF(
        COUNTIFS($C$2:C106,C106,$E$2:E106,E106,$D$2:D106,D106)=1,
        INDEX([1]DB!$A:$A,MATCH($E106,[1]DB!$D:$D,0)),
        IF(
          COUNTIFS($C$2:C106,C106,$E$2:E106,E106,$D$2:D106,D106)=2,
          INDEX([1]DB!$B:$B,MATCH($E106,[1]DB!$D:$D,0)),
          INDEX([1]DB!$C:$C,MATCH($E106,[1]DB!$D:$D,0))
        )
      )
    )
  ),
  0
)</f>
        <v>0</v>
      </c>
      <c r="N106" s="9">
        <f>IFERROR(
  IF(
    D106&lt;&gt;"Catherine",
    0,
    IF(
      C106="",
      IF(
        COUNTIFS($B$2:B106,B106,$E$2:E106,E106,$D$2:D106,D106)=1,
        INDEX([1]DB!$A:$A,MATCH($E106,[1]DB!$D:$D,0)),
        IF(
          COUNTIFS($B$2:B106,B106,$E$2:E106,E106,$D$2:D106,D106)=2,
          INDEX([1]DB!$B:$B,MATCH($E106,[1]DB!$D:$D,0)),
          INDEX([1]DB!$C:$C,MATCH($E106,[1]DB!$D:$D,0))
        )
      ),
      IF(
        COUNTIFS($C$2:C106,C106,$E$2:E106,E106,$D$2:D106,D106)=1,
        INDEX([1]DB!$A:$A,MATCH($E106,[1]DB!$D:$D,0)),
        IF(
          COUNTIFS($C$2:C106,C106,$E$2:E106,E106,$D$2:D106,D106)=2,
          INDEX([1]DB!$B:$B,MATCH($E106,[1]DB!$D:$D,0)),
          INDEX([1]DB!$C:$C,MATCH($E106,[1]DB!$D:$D,0))
        )
      )
    )
  ),
  0
)</f>
        <v>0</v>
      </c>
      <c r="O106" s="5" t="str">
        <f>IF(DAY(A106)&lt;=15,UPPER(LEFT(TEXT(A106,"mmmm"),1))&amp;RIGHT(TEXT(A106,"mmmm"),LEN(TEXT(A106,"mmmm"))-1),UPPER(LEFT(TEXT(DATE(YEAR(A106),MONTH(A106)+1,1),"mmmm"),1))&amp;RIGHT(TEXT(DATE(YEAR(A106),MONTH(A106)+1,1),"mmmm"),LEN(TEXT(DATE(YEAR(A106),MONTH(A106)+1,1),"mmmm"))-1))</f>
        <v>Janvier</v>
      </c>
      <c r="P106" s="6" t="str">
        <f ca="1">IF(AND(A106&lt;=TODAY(),F106&lt;&gt;""),"OK","NON")</f>
        <v>NON</v>
      </c>
    </row>
    <row r="107" spans="1:16">
      <c r="A107" s="4"/>
      <c r="B107" s="5"/>
      <c r="C107" s="5"/>
      <c r="D107" s="6"/>
      <c r="E107" s="6"/>
      <c r="F107" s="7"/>
      <c r="G107" s="8" cm="1">
        <f t="array" ref="G107">IFERROR(
  IF(D107&lt;&gt;"Cédric",
     0,
     SUMPRODUCT(
       (TRIM(SUBSTITUTE(UPPER($B$2:$B107),CHAR(160),""))=TRIM(SUBSTITUTE(UPPER(B107),CHAR(160),"")))*
       (TRIM(SUBSTITUTE(UPPER($C$2:$C107),CHAR(160),""))=TRIM(SUBSTITUTE(UPPER(C107),CHAR(160),"")))*
       (TRIM(SUBSTITUTE(UPPER($D$2:$D107),CHAR(160),""))=TRIM(SUBSTITUTE(UPPER(D107),CHAR(160),"")))*
       (TRIM(SUBSTITUTE(UPPER($E$2:$E107),CHAR(160),""))=TRIM(SUBSTITUTE(UPPER(E107),CHAR(160),"")))
     )
  ),
  0
)</f>
        <v>0</v>
      </c>
      <c r="H107" s="8" cm="1">
        <f t="array" ref="H107">IFERROR(
  IF(D107&lt;&gt;"Geoffroy",
     0,
     SUMPRODUCT(
       (TRIM(SUBSTITUTE(UPPER($B$2:$B107),CHAR(160),""))=TRIM(SUBSTITUTE(UPPER(B107),CHAR(160),"")))*
       (TRIM(SUBSTITUTE(UPPER($C$2:$C107),CHAR(160),""))=TRIM(SUBSTITUTE(UPPER(C107),CHAR(160),"")))*
       (TRIM(SUBSTITUTE(UPPER($D$2:$D107),CHAR(160),""))=TRIM(SUBSTITUTE(UPPER(D107),CHAR(160),"")))*
       (TRIM(SUBSTITUTE(UPPER($E$2:$E107),CHAR(160),""))=TRIM(SUBSTITUTE(UPPER(E107),CHAR(160),"")))
     )
  ),
  0
)</f>
        <v>0</v>
      </c>
      <c r="I107" s="8" cm="1">
        <f t="array" ref="I107">IFERROR(
  IF(D107&lt;&gt;"Tiphaine",
     0,
     SUMPRODUCT(
       (TRIM(SUBSTITUTE(UPPER($B$2:$B107),CHAR(160),""))=TRIM(SUBSTITUTE(UPPER(B107),CHAR(160),"")))*
       (TRIM(SUBSTITUTE(UPPER($C$2:$C107),CHAR(160),""))=TRIM(SUBSTITUTE(UPPER(C107),CHAR(160),"")))*
       (TRIM(SUBSTITUTE(UPPER($D$2:$D107),CHAR(160),""))=TRIM(SUBSTITUTE(UPPER(D107),CHAR(160),"")))*
       (TRIM(SUBSTITUTE(UPPER($E$2:$E107),CHAR(160),""))=TRIM(SUBSTITUTE(UPPER(E107),CHAR(160),"")))
     )
  ),
  0
)</f>
        <v>0</v>
      </c>
      <c r="J107" s="8" cm="1">
        <f t="array" ref="J107">IFERROR(
  IF(D107&lt;&gt;"Catherine",
     0,
     SUMPRODUCT(
       (TRIM(SUBSTITUTE(UPPER($B$2:$B107),CHAR(160),""))=TRIM(SUBSTITUTE(UPPER(B107),CHAR(160),"")))*
       (TRIM(SUBSTITUTE(UPPER($C$2:$C107),CHAR(160),""))=TRIM(SUBSTITUTE(UPPER(C107),CHAR(160),"")))*
       (TRIM(SUBSTITUTE(UPPER($D$2:$D107),CHAR(160),""))=TRIM(SUBSTITUTE(UPPER(D107),CHAR(160),"")))*
       (TRIM(SUBSTITUTE(UPPER($E$2:$E107),CHAR(160),""))=TRIM(SUBSTITUTE(UPPER(E107),CHAR(160),"")))
     )
  ),
  0
)</f>
        <v>0</v>
      </c>
      <c r="K107" s="9">
        <f>IFERROR(
  IF(
    D107&lt;&gt;"Cédric",
    0,
    IF(
      C107="",
      IF(
        COUNTIFS($B$2:B107,B107,$E$2:E107,E107,$D$2:D107,D107)=1,
        INDEX([1]DB!$A:$A,MATCH($E107,[1]DB!$D:$D,0)),
        IF(
          COUNTIFS($B$2:B107,B107,$E$2:E107,E107,$D$2:D107,D107)=2,
          INDEX([1]DB!$B:$B,MATCH($E107,[1]DB!$D:$D,0)),
          INDEX([1]DB!$C:$C,MATCH($E107,[1]DB!$D:$D,0))
        )
      ),
      IF(
        COUNTIFS($C$2:C107,C107,$E$2:E107,E107,$D$2:D107,D107)=1,
        INDEX([1]DB!$A:$A,MATCH($E107,[1]DB!$D:$D,0)),
        IF(
          COUNTIFS($C$2:C107,C107,$E$2:E107,E107,$D$2:D107,D107)=2,
          INDEX([1]DB!$B:$B,MATCH($E107,[1]DB!$D:$D,0)),
          INDEX([1]DB!$C:$C,MATCH($E107,[1]DB!$D:$D,0))
        )
      )
    )
  ),
  0
)</f>
        <v>0</v>
      </c>
      <c r="L107" s="9">
        <f>IFERROR(
  IF(
    D107&lt;&gt;"Geoffroy",
    0,
    IF(
      C107="",
      IF(
        COUNTIFS($B$2:B107,B107,$E$2:E107,E107,$D$2:D107,D107)=1,
        INDEX([1]DB!$A:$A,MATCH($E107,[1]DB!$D:$D,0)),
        IF(
          COUNTIFS($B$2:B107,B107,$E$2:E107,E107,$D$2:D107,D107)=2,
          INDEX([1]DB!$B:$B,MATCH($E107,[1]DB!$D:$D,0)),
          INDEX([1]DB!$C:$C,MATCH($E107,[1]DB!$D:$D,0))
        )
      ),
      IF(
        COUNTIFS($C$2:C107,C107,$E$2:E107,E107,$D$2:D107,D107)=1,
        INDEX([1]DB!$A:$A,MATCH($E107,[1]DB!$D:$D,0)),
        IF(
          COUNTIFS($C$2:C107,C107,$E$2:E107,E107,$D$2:D107,D107)=2,
          INDEX([1]DB!$B:$B,MATCH($E107,[1]DB!$D:$D,0)),
          INDEX([1]DB!$C:$C,MATCH($E107,[1]DB!$D:$D,0))
        )
      )
    )
  ),
  0
)</f>
        <v>0</v>
      </c>
      <c r="M107" s="9">
        <f>IFERROR(
  IF(
    D107&lt;&gt;"Tiphaine",
    0,
    IF(
      C107="",
      IF(
        COUNTIFS($B$2:B107,B107,$E$2:E107,E107,$D$2:D107,D107)=1,
        INDEX([1]DB!$A:$A,MATCH($E107,[1]DB!$D:$D,0)),
        IF(
          COUNTIFS($B$2:B107,B107,$E$2:E107,E107,$D$2:D107,D107)=2,
          INDEX([1]DB!$B:$B,MATCH($E107,[1]DB!$D:$D,0)),
          INDEX([1]DB!$C:$C,MATCH($E107,[1]DB!$D:$D,0))
        )
      ),
      IF(
        COUNTIFS($C$2:C107,C107,$E$2:E107,E107,$D$2:D107,D107)=1,
        INDEX([1]DB!$A:$A,MATCH($E107,[1]DB!$D:$D,0)),
        IF(
          COUNTIFS($C$2:C107,C107,$E$2:E107,E107,$D$2:D107,D107)=2,
          INDEX([1]DB!$B:$B,MATCH($E107,[1]DB!$D:$D,0)),
          INDEX([1]DB!$C:$C,MATCH($E107,[1]DB!$D:$D,0))
        )
      )
    )
  ),
  0
)</f>
        <v>0</v>
      </c>
      <c r="N107" s="9">
        <f>IFERROR(
  IF(
    D107&lt;&gt;"Catherine",
    0,
    IF(
      C107="",
      IF(
        COUNTIFS($B$2:B107,B107,$E$2:E107,E107,$D$2:D107,D107)=1,
        INDEX([1]DB!$A:$A,MATCH($E107,[1]DB!$D:$D,0)),
        IF(
          COUNTIFS($B$2:B107,B107,$E$2:E107,E107,$D$2:D107,D107)=2,
          INDEX([1]DB!$B:$B,MATCH($E107,[1]DB!$D:$D,0)),
          INDEX([1]DB!$C:$C,MATCH($E107,[1]DB!$D:$D,0))
        )
      ),
      IF(
        COUNTIFS($C$2:C107,C107,$E$2:E107,E107,$D$2:D107,D107)=1,
        INDEX([1]DB!$A:$A,MATCH($E107,[1]DB!$D:$D,0)),
        IF(
          COUNTIFS($C$2:C107,C107,$E$2:E107,E107,$D$2:D107,D107)=2,
          INDEX([1]DB!$B:$B,MATCH($E107,[1]DB!$D:$D,0)),
          INDEX([1]DB!$C:$C,MATCH($E107,[1]DB!$D:$D,0))
        )
      )
    )
  ),
  0
)</f>
        <v>0</v>
      </c>
      <c r="O107" s="5" t="str">
        <f>IF(DAY(A107)&lt;=15,UPPER(LEFT(TEXT(A107,"mmmm"),1))&amp;RIGHT(TEXT(A107,"mmmm"),LEN(TEXT(A107,"mmmm"))-1),UPPER(LEFT(TEXT(DATE(YEAR(A107),MONTH(A107)+1,1),"mmmm"),1))&amp;RIGHT(TEXT(DATE(YEAR(A107),MONTH(A107)+1,1),"mmmm"),LEN(TEXT(DATE(YEAR(A107),MONTH(A107)+1,1),"mmmm"))-1))</f>
        <v>Janvier</v>
      </c>
      <c r="P107" s="6" t="str">
        <f ca="1">IF(AND(A107&lt;=TODAY(),F107&lt;&gt;""),"OK","NON")</f>
        <v>NON</v>
      </c>
    </row>
    <row r="108" spans="1:16">
      <c r="A108" s="4"/>
      <c r="B108" s="5"/>
      <c r="C108" s="5"/>
      <c r="D108" s="6"/>
      <c r="E108" s="6"/>
      <c r="F108" s="7"/>
      <c r="G108" s="8" cm="1">
        <f t="array" ref="G108">IFERROR(
  IF(D108&lt;&gt;"Cédric",
     0,
     SUMPRODUCT(
       (TRIM(SUBSTITUTE(UPPER($B$2:$B108),CHAR(160),""))=TRIM(SUBSTITUTE(UPPER(B108),CHAR(160),"")))*
       (TRIM(SUBSTITUTE(UPPER($C$2:$C108),CHAR(160),""))=TRIM(SUBSTITUTE(UPPER(C108),CHAR(160),"")))*
       (TRIM(SUBSTITUTE(UPPER($D$2:$D108),CHAR(160),""))=TRIM(SUBSTITUTE(UPPER(D108),CHAR(160),"")))*
       (TRIM(SUBSTITUTE(UPPER($E$2:$E108),CHAR(160),""))=TRIM(SUBSTITUTE(UPPER(E108),CHAR(160),"")))
     )
  ),
  0
)</f>
        <v>0</v>
      </c>
      <c r="H108" s="8" cm="1">
        <f t="array" ref="H108">IFERROR(
  IF(D108&lt;&gt;"Geoffroy",
     0,
     SUMPRODUCT(
       (TRIM(SUBSTITUTE(UPPER($B$2:$B108),CHAR(160),""))=TRIM(SUBSTITUTE(UPPER(B108),CHAR(160),"")))*
       (TRIM(SUBSTITUTE(UPPER($C$2:$C108),CHAR(160),""))=TRIM(SUBSTITUTE(UPPER(C108),CHAR(160),"")))*
       (TRIM(SUBSTITUTE(UPPER($D$2:$D108),CHAR(160),""))=TRIM(SUBSTITUTE(UPPER(D108),CHAR(160),"")))*
       (TRIM(SUBSTITUTE(UPPER($E$2:$E108),CHAR(160),""))=TRIM(SUBSTITUTE(UPPER(E108),CHAR(160),"")))
     )
  ),
  0
)</f>
        <v>0</v>
      </c>
      <c r="I108" s="8" cm="1">
        <f t="array" ref="I108">IFERROR(
  IF(D108&lt;&gt;"Tiphaine",
     0,
     SUMPRODUCT(
       (TRIM(SUBSTITUTE(UPPER($B$2:$B108),CHAR(160),""))=TRIM(SUBSTITUTE(UPPER(B108),CHAR(160),"")))*
       (TRIM(SUBSTITUTE(UPPER($C$2:$C108),CHAR(160),""))=TRIM(SUBSTITUTE(UPPER(C108),CHAR(160),"")))*
       (TRIM(SUBSTITUTE(UPPER($D$2:$D108),CHAR(160),""))=TRIM(SUBSTITUTE(UPPER(D108),CHAR(160),"")))*
       (TRIM(SUBSTITUTE(UPPER($E$2:$E108),CHAR(160),""))=TRIM(SUBSTITUTE(UPPER(E108),CHAR(160),"")))
     )
  ),
  0
)</f>
        <v>0</v>
      </c>
      <c r="J108" s="8" cm="1">
        <f t="array" ref="J108">IFERROR(
  IF(D108&lt;&gt;"Catherine",
     0,
     SUMPRODUCT(
       (TRIM(SUBSTITUTE(UPPER($B$2:$B108),CHAR(160),""))=TRIM(SUBSTITUTE(UPPER(B108),CHAR(160),"")))*
       (TRIM(SUBSTITUTE(UPPER($C$2:$C108),CHAR(160),""))=TRIM(SUBSTITUTE(UPPER(C108),CHAR(160),"")))*
       (TRIM(SUBSTITUTE(UPPER($D$2:$D108),CHAR(160),""))=TRIM(SUBSTITUTE(UPPER(D108),CHAR(160),"")))*
       (TRIM(SUBSTITUTE(UPPER($E$2:$E108),CHAR(160),""))=TRIM(SUBSTITUTE(UPPER(E108),CHAR(160),"")))
     )
  ),
  0
)</f>
        <v>0</v>
      </c>
      <c r="K108" s="9">
        <f>IFERROR(
  IF(
    D108&lt;&gt;"Cédric",
    0,
    IF(
      C108="",
      IF(
        COUNTIFS($B$2:B108,B108,$E$2:E108,E108,$D$2:D108,D108)=1,
        INDEX([1]DB!$A:$A,MATCH($E108,[1]DB!$D:$D,0)),
        IF(
          COUNTIFS($B$2:B108,B108,$E$2:E108,E108,$D$2:D108,D108)=2,
          INDEX([1]DB!$B:$B,MATCH($E108,[1]DB!$D:$D,0)),
          INDEX([1]DB!$C:$C,MATCH($E108,[1]DB!$D:$D,0))
        )
      ),
      IF(
        COUNTIFS($C$2:C108,C108,$E$2:E108,E108,$D$2:D108,D108)=1,
        INDEX([1]DB!$A:$A,MATCH($E108,[1]DB!$D:$D,0)),
        IF(
          COUNTIFS($C$2:C108,C108,$E$2:E108,E108,$D$2:D108,D108)=2,
          INDEX([1]DB!$B:$B,MATCH($E108,[1]DB!$D:$D,0)),
          INDEX([1]DB!$C:$C,MATCH($E108,[1]DB!$D:$D,0))
        )
      )
    )
  ),
  0
)</f>
        <v>0</v>
      </c>
      <c r="L108" s="9">
        <f>IFERROR(
  IF(
    D108&lt;&gt;"Geoffroy",
    0,
    IF(
      C108="",
      IF(
        COUNTIFS($B$2:B108,B108,$E$2:E108,E108,$D$2:D108,D108)=1,
        INDEX([1]DB!$A:$A,MATCH($E108,[1]DB!$D:$D,0)),
        IF(
          COUNTIFS($B$2:B108,B108,$E$2:E108,E108,$D$2:D108,D108)=2,
          INDEX([1]DB!$B:$B,MATCH($E108,[1]DB!$D:$D,0)),
          INDEX([1]DB!$C:$C,MATCH($E108,[1]DB!$D:$D,0))
        )
      ),
      IF(
        COUNTIFS($C$2:C108,C108,$E$2:E108,E108,$D$2:D108,D108)=1,
        INDEX([1]DB!$A:$A,MATCH($E108,[1]DB!$D:$D,0)),
        IF(
          COUNTIFS($C$2:C108,C108,$E$2:E108,E108,$D$2:D108,D108)=2,
          INDEX([1]DB!$B:$B,MATCH($E108,[1]DB!$D:$D,0)),
          INDEX([1]DB!$C:$C,MATCH($E108,[1]DB!$D:$D,0))
        )
      )
    )
  ),
  0
)</f>
        <v>0</v>
      </c>
      <c r="M108" s="9">
        <f>IFERROR(
  IF(
    D108&lt;&gt;"Tiphaine",
    0,
    IF(
      C108="",
      IF(
        COUNTIFS($B$2:B108,B108,$E$2:E108,E108,$D$2:D108,D108)=1,
        INDEX([1]DB!$A:$A,MATCH($E108,[1]DB!$D:$D,0)),
        IF(
          COUNTIFS($B$2:B108,B108,$E$2:E108,E108,$D$2:D108,D108)=2,
          INDEX([1]DB!$B:$B,MATCH($E108,[1]DB!$D:$D,0)),
          INDEX([1]DB!$C:$C,MATCH($E108,[1]DB!$D:$D,0))
        )
      ),
      IF(
        COUNTIFS($C$2:C108,C108,$E$2:E108,E108,$D$2:D108,D108)=1,
        INDEX([1]DB!$A:$A,MATCH($E108,[1]DB!$D:$D,0)),
        IF(
          COUNTIFS($C$2:C108,C108,$E$2:E108,E108,$D$2:D108,D108)=2,
          INDEX([1]DB!$B:$B,MATCH($E108,[1]DB!$D:$D,0)),
          INDEX([1]DB!$C:$C,MATCH($E108,[1]DB!$D:$D,0))
        )
      )
    )
  ),
  0
)</f>
        <v>0</v>
      </c>
      <c r="N108" s="9">
        <f>IFERROR(
  IF(
    D108&lt;&gt;"Catherine",
    0,
    IF(
      C108="",
      IF(
        COUNTIFS($B$2:B108,B108,$E$2:E108,E108,$D$2:D108,D108)=1,
        INDEX([1]DB!$A:$A,MATCH($E108,[1]DB!$D:$D,0)),
        IF(
          COUNTIFS($B$2:B108,B108,$E$2:E108,E108,$D$2:D108,D108)=2,
          INDEX([1]DB!$B:$B,MATCH($E108,[1]DB!$D:$D,0)),
          INDEX([1]DB!$C:$C,MATCH($E108,[1]DB!$D:$D,0))
        )
      ),
      IF(
        COUNTIFS($C$2:C108,C108,$E$2:E108,E108,$D$2:D108,D108)=1,
        INDEX([1]DB!$A:$A,MATCH($E108,[1]DB!$D:$D,0)),
        IF(
          COUNTIFS($C$2:C108,C108,$E$2:E108,E108,$D$2:D108,D108)=2,
          INDEX([1]DB!$B:$B,MATCH($E108,[1]DB!$D:$D,0)),
          INDEX([1]DB!$C:$C,MATCH($E108,[1]DB!$D:$D,0))
        )
      )
    )
  ),
  0
)</f>
        <v>0</v>
      </c>
      <c r="O108" s="5" t="str">
        <f>IF(DAY(A108)&lt;=15,UPPER(LEFT(TEXT(A108,"mmmm"),1))&amp;RIGHT(TEXT(A108,"mmmm"),LEN(TEXT(A108,"mmmm"))-1),UPPER(LEFT(TEXT(DATE(YEAR(A108),MONTH(A108)+1,1),"mmmm"),1))&amp;RIGHT(TEXT(DATE(YEAR(A108),MONTH(A108)+1,1),"mmmm"),LEN(TEXT(DATE(YEAR(A108),MONTH(A108)+1,1),"mmmm"))-1))</f>
        <v>Janvier</v>
      </c>
      <c r="P108" s="6" t="str">
        <f ca="1">IF(AND(A108&lt;=TODAY(),F108&lt;&gt;""),"OK","NON")</f>
        <v>NON</v>
      </c>
    </row>
    <row r="109" spans="1:16">
      <c r="A109" s="4"/>
      <c r="B109" s="5"/>
      <c r="C109" s="5"/>
      <c r="D109" s="6"/>
      <c r="E109" s="6"/>
      <c r="F109" s="7"/>
      <c r="G109" s="8" cm="1">
        <f t="array" ref="G109">IFERROR(
  IF(D109&lt;&gt;"Cédric",
     0,
     SUMPRODUCT(
       (TRIM(SUBSTITUTE(UPPER($B$2:$B109),CHAR(160),""))=TRIM(SUBSTITUTE(UPPER(B109),CHAR(160),"")))*
       (TRIM(SUBSTITUTE(UPPER($C$2:$C109),CHAR(160),""))=TRIM(SUBSTITUTE(UPPER(C109),CHAR(160),"")))*
       (TRIM(SUBSTITUTE(UPPER($D$2:$D109),CHAR(160),""))=TRIM(SUBSTITUTE(UPPER(D109),CHAR(160),"")))*
       (TRIM(SUBSTITUTE(UPPER($E$2:$E109),CHAR(160),""))=TRIM(SUBSTITUTE(UPPER(E109),CHAR(160),"")))
     )
  ),
  0
)</f>
        <v>0</v>
      </c>
      <c r="H109" s="8" cm="1">
        <f t="array" ref="H109">IFERROR(
  IF(D109&lt;&gt;"Geoffroy",
     0,
     SUMPRODUCT(
       (TRIM(SUBSTITUTE(UPPER($B$2:$B109),CHAR(160),""))=TRIM(SUBSTITUTE(UPPER(B109),CHAR(160),"")))*
       (TRIM(SUBSTITUTE(UPPER($C$2:$C109),CHAR(160),""))=TRIM(SUBSTITUTE(UPPER(C109),CHAR(160),"")))*
       (TRIM(SUBSTITUTE(UPPER($D$2:$D109),CHAR(160),""))=TRIM(SUBSTITUTE(UPPER(D109),CHAR(160),"")))*
       (TRIM(SUBSTITUTE(UPPER($E$2:$E109),CHAR(160),""))=TRIM(SUBSTITUTE(UPPER(E109),CHAR(160),"")))
     )
  ),
  0
)</f>
        <v>0</v>
      </c>
      <c r="I109" s="8" cm="1">
        <f t="array" ref="I109">IFERROR(
  IF(D109&lt;&gt;"Tiphaine",
     0,
     SUMPRODUCT(
       (TRIM(SUBSTITUTE(UPPER($B$2:$B109),CHAR(160),""))=TRIM(SUBSTITUTE(UPPER(B109),CHAR(160),"")))*
       (TRIM(SUBSTITUTE(UPPER($C$2:$C109),CHAR(160),""))=TRIM(SUBSTITUTE(UPPER(C109),CHAR(160),"")))*
       (TRIM(SUBSTITUTE(UPPER($D$2:$D109),CHAR(160),""))=TRIM(SUBSTITUTE(UPPER(D109),CHAR(160),"")))*
       (TRIM(SUBSTITUTE(UPPER($E$2:$E109),CHAR(160),""))=TRIM(SUBSTITUTE(UPPER(E109),CHAR(160),"")))
     )
  ),
  0
)</f>
        <v>0</v>
      </c>
      <c r="J109" s="8" cm="1">
        <f t="array" ref="J109">IFERROR(
  IF(D109&lt;&gt;"Catherine",
     0,
     SUMPRODUCT(
       (TRIM(SUBSTITUTE(UPPER($B$2:$B109),CHAR(160),""))=TRIM(SUBSTITUTE(UPPER(B109),CHAR(160),"")))*
       (TRIM(SUBSTITUTE(UPPER($C$2:$C109),CHAR(160),""))=TRIM(SUBSTITUTE(UPPER(C109),CHAR(160),"")))*
       (TRIM(SUBSTITUTE(UPPER($D$2:$D109),CHAR(160),""))=TRIM(SUBSTITUTE(UPPER(D109),CHAR(160),"")))*
       (TRIM(SUBSTITUTE(UPPER($E$2:$E109),CHAR(160),""))=TRIM(SUBSTITUTE(UPPER(E109),CHAR(160),"")))
     )
  ),
  0
)</f>
        <v>0</v>
      </c>
      <c r="K109" s="9">
        <f>IFERROR(
  IF(
    D109&lt;&gt;"Cédric",
    0,
    IF(
      C109="",
      IF(
        COUNTIFS($B$2:B109,B109,$E$2:E109,E109,$D$2:D109,D109)=1,
        INDEX([1]DB!$A:$A,MATCH($E109,[1]DB!$D:$D,0)),
        IF(
          COUNTIFS($B$2:B109,B109,$E$2:E109,E109,$D$2:D109,D109)=2,
          INDEX([1]DB!$B:$B,MATCH($E109,[1]DB!$D:$D,0)),
          INDEX([1]DB!$C:$C,MATCH($E109,[1]DB!$D:$D,0))
        )
      ),
      IF(
        COUNTIFS($C$2:C109,C109,$E$2:E109,E109,$D$2:D109,D109)=1,
        INDEX([1]DB!$A:$A,MATCH($E109,[1]DB!$D:$D,0)),
        IF(
          COUNTIFS($C$2:C109,C109,$E$2:E109,E109,$D$2:D109,D109)=2,
          INDEX([1]DB!$B:$B,MATCH($E109,[1]DB!$D:$D,0)),
          INDEX([1]DB!$C:$C,MATCH($E109,[1]DB!$D:$D,0))
        )
      )
    )
  ),
  0
)</f>
        <v>0</v>
      </c>
      <c r="L109" s="9">
        <f>IFERROR(
  IF(
    D109&lt;&gt;"Geoffroy",
    0,
    IF(
      C109="",
      IF(
        COUNTIFS($B$2:B109,B109,$E$2:E109,E109,$D$2:D109,D109)=1,
        INDEX([1]DB!$A:$A,MATCH($E109,[1]DB!$D:$D,0)),
        IF(
          COUNTIFS($B$2:B109,B109,$E$2:E109,E109,$D$2:D109,D109)=2,
          INDEX([1]DB!$B:$B,MATCH($E109,[1]DB!$D:$D,0)),
          INDEX([1]DB!$C:$C,MATCH($E109,[1]DB!$D:$D,0))
        )
      ),
      IF(
        COUNTIFS($C$2:C109,C109,$E$2:E109,E109,$D$2:D109,D109)=1,
        INDEX([1]DB!$A:$A,MATCH($E109,[1]DB!$D:$D,0)),
        IF(
          COUNTIFS($C$2:C109,C109,$E$2:E109,E109,$D$2:D109,D109)=2,
          INDEX([1]DB!$B:$B,MATCH($E109,[1]DB!$D:$D,0)),
          INDEX([1]DB!$C:$C,MATCH($E109,[1]DB!$D:$D,0))
        )
      )
    )
  ),
  0
)</f>
        <v>0</v>
      </c>
      <c r="M109" s="9">
        <f>IFERROR(
  IF(
    D109&lt;&gt;"Tiphaine",
    0,
    IF(
      C109="",
      IF(
        COUNTIFS($B$2:B109,B109,$E$2:E109,E109,$D$2:D109,D109)=1,
        INDEX([1]DB!$A:$A,MATCH($E109,[1]DB!$D:$D,0)),
        IF(
          COUNTIFS($B$2:B109,B109,$E$2:E109,E109,$D$2:D109,D109)=2,
          INDEX([1]DB!$B:$B,MATCH($E109,[1]DB!$D:$D,0)),
          INDEX([1]DB!$C:$C,MATCH($E109,[1]DB!$D:$D,0))
        )
      ),
      IF(
        COUNTIFS($C$2:C109,C109,$E$2:E109,E109,$D$2:D109,D109)=1,
        INDEX([1]DB!$A:$A,MATCH($E109,[1]DB!$D:$D,0)),
        IF(
          COUNTIFS($C$2:C109,C109,$E$2:E109,E109,$D$2:D109,D109)=2,
          INDEX([1]DB!$B:$B,MATCH($E109,[1]DB!$D:$D,0)),
          INDEX([1]DB!$C:$C,MATCH($E109,[1]DB!$D:$D,0))
        )
      )
    )
  ),
  0
)</f>
        <v>0</v>
      </c>
      <c r="N109" s="9">
        <f>IFERROR(
  IF(
    D109&lt;&gt;"Catherine",
    0,
    IF(
      C109="",
      IF(
        COUNTIFS($B$2:B109,B109,$E$2:E109,E109,$D$2:D109,D109)=1,
        INDEX([1]DB!$A:$A,MATCH($E109,[1]DB!$D:$D,0)),
        IF(
          COUNTIFS($B$2:B109,B109,$E$2:E109,E109,$D$2:D109,D109)=2,
          INDEX([1]DB!$B:$B,MATCH($E109,[1]DB!$D:$D,0)),
          INDEX([1]DB!$C:$C,MATCH($E109,[1]DB!$D:$D,0))
        )
      ),
      IF(
        COUNTIFS($C$2:C109,C109,$E$2:E109,E109,$D$2:D109,D109)=1,
        INDEX([1]DB!$A:$A,MATCH($E109,[1]DB!$D:$D,0)),
        IF(
          COUNTIFS($C$2:C109,C109,$E$2:E109,E109,$D$2:D109,D109)=2,
          INDEX([1]DB!$B:$B,MATCH($E109,[1]DB!$D:$D,0)),
          INDEX([1]DB!$C:$C,MATCH($E109,[1]DB!$D:$D,0))
        )
      )
    )
  ),
  0
)</f>
        <v>0</v>
      </c>
      <c r="O109" s="5" t="str">
        <f>IF(DAY(A109)&lt;=15,UPPER(LEFT(TEXT(A109,"mmmm"),1))&amp;RIGHT(TEXT(A109,"mmmm"),LEN(TEXT(A109,"mmmm"))-1),UPPER(LEFT(TEXT(DATE(YEAR(A109),MONTH(A109)+1,1),"mmmm"),1))&amp;RIGHT(TEXT(DATE(YEAR(A109),MONTH(A109)+1,1),"mmmm"),LEN(TEXT(DATE(YEAR(A109),MONTH(A109)+1,1),"mmmm"))-1))</f>
        <v>Janvier</v>
      </c>
      <c r="P109" s="6" t="str">
        <f ca="1">IF(AND(A109&lt;=TODAY(),F109&lt;&gt;""),"OK","NON")</f>
        <v>NON</v>
      </c>
    </row>
    <row r="110" spans="1:16">
      <c r="A110" s="4"/>
      <c r="B110" s="5"/>
      <c r="C110" s="5"/>
      <c r="D110" s="6"/>
      <c r="E110" s="6"/>
      <c r="F110" s="7"/>
      <c r="G110" s="8" cm="1">
        <f t="array" ref="G110">IFERROR(
  IF(D110&lt;&gt;"Cédric",
     0,
     SUMPRODUCT(
       (TRIM(SUBSTITUTE(UPPER($B$2:$B110),CHAR(160),""))=TRIM(SUBSTITUTE(UPPER(B110),CHAR(160),"")))*
       (TRIM(SUBSTITUTE(UPPER($C$2:$C110),CHAR(160),""))=TRIM(SUBSTITUTE(UPPER(C110),CHAR(160),"")))*
       (TRIM(SUBSTITUTE(UPPER($D$2:$D110),CHAR(160),""))=TRIM(SUBSTITUTE(UPPER(D110),CHAR(160),"")))*
       (TRIM(SUBSTITUTE(UPPER($E$2:$E110),CHAR(160),""))=TRIM(SUBSTITUTE(UPPER(E110),CHAR(160),"")))
     )
  ),
  0
)</f>
        <v>0</v>
      </c>
      <c r="H110" s="8" cm="1">
        <f t="array" ref="H110">IFERROR(
  IF(D110&lt;&gt;"Geoffroy",
     0,
     SUMPRODUCT(
       (TRIM(SUBSTITUTE(UPPER($B$2:$B110),CHAR(160),""))=TRIM(SUBSTITUTE(UPPER(B110),CHAR(160),"")))*
       (TRIM(SUBSTITUTE(UPPER($C$2:$C110),CHAR(160),""))=TRIM(SUBSTITUTE(UPPER(C110),CHAR(160),"")))*
       (TRIM(SUBSTITUTE(UPPER($D$2:$D110),CHAR(160),""))=TRIM(SUBSTITUTE(UPPER(D110),CHAR(160),"")))*
       (TRIM(SUBSTITUTE(UPPER($E$2:$E110),CHAR(160),""))=TRIM(SUBSTITUTE(UPPER(E110),CHAR(160),"")))
     )
  ),
  0
)</f>
        <v>0</v>
      </c>
      <c r="I110" s="8" cm="1">
        <f t="array" ref="I110">IFERROR(
  IF(D110&lt;&gt;"Tiphaine",
     0,
     SUMPRODUCT(
       (TRIM(SUBSTITUTE(UPPER($B$2:$B110),CHAR(160),""))=TRIM(SUBSTITUTE(UPPER(B110),CHAR(160),"")))*
       (TRIM(SUBSTITUTE(UPPER($C$2:$C110),CHAR(160),""))=TRIM(SUBSTITUTE(UPPER(C110),CHAR(160),"")))*
       (TRIM(SUBSTITUTE(UPPER($D$2:$D110),CHAR(160),""))=TRIM(SUBSTITUTE(UPPER(D110),CHAR(160),"")))*
       (TRIM(SUBSTITUTE(UPPER($E$2:$E110),CHAR(160),""))=TRIM(SUBSTITUTE(UPPER(E110),CHAR(160),"")))
     )
  ),
  0
)</f>
        <v>0</v>
      </c>
      <c r="J110" s="8" cm="1">
        <f t="array" ref="J110">IFERROR(
  IF(D110&lt;&gt;"Catherine",
     0,
     SUMPRODUCT(
       (TRIM(SUBSTITUTE(UPPER($B$2:$B110),CHAR(160),""))=TRIM(SUBSTITUTE(UPPER(B110),CHAR(160),"")))*
       (TRIM(SUBSTITUTE(UPPER($C$2:$C110),CHAR(160),""))=TRIM(SUBSTITUTE(UPPER(C110),CHAR(160),"")))*
       (TRIM(SUBSTITUTE(UPPER($D$2:$D110),CHAR(160),""))=TRIM(SUBSTITUTE(UPPER(D110),CHAR(160),"")))*
       (TRIM(SUBSTITUTE(UPPER($E$2:$E110),CHAR(160),""))=TRIM(SUBSTITUTE(UPPER(E110),CHAR(160),"")))
     )
  ),
  0
)</f>
        <v>0</v>
      </c>
      <c r="K110" s="9">
        <f>IFERROR(
  IF(
    D110&lt;&gt;"Cédric",
    0,
    IF(
      C110="",
      IF(
        COUNTIFS($B$2:B110,B110,$E$2:E110,E110,$D$2:D110,D110)=1,
        INDEX([1]DB!$A:$A,MATCH($E110,[1]DB!$D:$D,0)),
        IF(
          COUNTIFS($B$2:B110,B110,$E$2:E110,E110,$D$2:D110,D110)=2,
          INDEX([1]DB!$B:$B,MATCH($E110,[1]DB!$D:$D,0)),
          INDEX([1]DB!$C:$C,MATCH($E110,[1]DB!$D:$D,0))
        )
      ),
      IF(
        COUNTIFS($C$2:C110,C110,$E$2:E110,E110,$D$2:D110,D110)=1,
        INDEX([1]DB!$A:$A,MATCH($E110,[1]DB!$D:$D,0)),
        IF(
          COUNTIFS($C$2:C110,C110,$E$2:E110,E110,$D$2:D110,D110)=2,
          INDEX([1]DB!$B:$B,MATCH($E110,[1]DB!$D:$D,0)),
          INDEX([1]DB!$C:$C,MATCH($E110,[1]DB!$D:$D,0))
        )
      )
    )
  ),
  0
)</f>
        <v>0</v>
      </c>
      <c r="L110" s="9">
        <f>IFERROR(
  IF(
    D110&lt;&gt;"Geoffroy",
    0,
    IF(
      C110="",
      IF(
        COUNTIFS($B$2:B110,B110,$E$2:E110,E110,$D$2:D110,D110)=1,
        INDEX([1]DB!$A:$A,MATCH($E110,[1]DB!$D:$D,0)),
        IF(
          COUNTIFS($B$2:B110,B110,$E$2:E110,E110,$D$2:D110,D110)=2,
          INDEX([1]DB!$B:$B,MATCH($E110,[1]DB!$D:$D,0)),
          INDEX([1]DB!$C:$C,MATCH($E110,[1]DB!$D:$D,0))
        )
      ),
      IF(
        COUNTIFS($C$2:C110,C110,$E$2:E110,E110,$D$2:D110,D110)=1,
        INDEX([1]DB!$A:$A,MATCH($E110,[1]DB!$D:$D,0)),
        IF(
          COUNTIFS($C$2:C110,C110,$E$2:E110,E110,$D$2:D110,D110)=2,
          INDEX([1]DB!$B:$B,MATCH($E110,[1]DB!$D:$D,0)),
          INDEX([1]DB!$C:$C,MATCH($E110,[1]DB!$D:$D,0))
        )
      )
    )
  ),
  0
)</f>
        <v>0</v>
      </c>
      <c r="M110" s="9">
        <f>IFERROR(
  IF(
    D110&lt;&gt;"Tiphaine",
    0,
    IF(
      C110="",
      IF(
        COUNTIFS($B$2:B110,B110,$E$2:E110,E110,$D$2:D110,D110)=1,
        INDEX([1]DB!$A:$A,MATCH($E110,[1]DB!$D:$D,0)),
        IF(
          COUNTIFS($B$2:B110,B110,$E$2:E110,E110,$D$2:D110,D110)=2,
          INDEX([1]DB!$B:$B,MATCH($E110,[1]DB!$D:$D,0)),
          INDEX([1]DB!$C:$C,MATCH($E110,[1]DB!$D:$D,0))
        )
      ),
      IF(
        COUNTIFS($C$2:C110,C110,$E$2:E110,E110,$D$2:D110,D110)=1,
        INDEX([1]DB!$A:$A,MATCH($E110,[1]DB!$D:$D,0)),
        IF(
          COUNTIFS($C$2:C110,C110,$E$2:E110,E110,$D$2:D110,D110)=2,
          INDEX([1]DB!$B:$B,MATCH($E110,[1]DB!$D:$D,0)),
          INDEX([1]DB!$C:$C,MATCH($E110,[1]DB!$D:$D,0))
        )
      )
    )
  ),
  0
)</f>
        <v>0</v>
      </c>
      <c r="N110" s="9">
        <f>IFERROR(
  IF(
    D110&lt;&gt;"Catherine",
    0,
    IF(
      C110="",
      IF(
        COUNTIFS($B$2:B110,B110,$E$2:E110,E110,$D$2:D110,D110)=1,
        INDEX([1]DB!$A:$A,MATCH($E110,[1]DB!$D:$D,0)),
        IF(
          COUNTIFS($B$2:B110,B110,$E$2:E110,E110,$D$2:D110,D110)=2,
          INDEX([1]DB!$B:$B,MATCH($E110,[1]DB!$D:$D,0)),
          INDEX([1]DB!$C:$C,MATCH($E110,[1]DB!$D:$D,0))
        )
      ),
      IF(
        COUNTIFS($C$2:C110,C110,$E$2:E110,E110,$D$2:D110,D110)=1,
        INDEX([1]DB!$A:$A,MATCH($E110,[1]DB!$D:$D,0)),
        IF(
          COUNTIFS($C$2:C110,C110,$E$2:E110,E110,$D$2:D110,D110)=2,
          INDEX([1]DB!$B:$B,MATCH($E110,[1]DB!$D:$D,0)),
          INDEX([1]DB!$C:$C,MATCH($E110,[1]DB!$D:$D,0))
        )
      )
    )
  ),
  0
)</f>
        <v>0</v>
      </c>
      <c r="O110" s="5" t="str">
        <f>IF(DAY(A110)&lt;=15,UPPER(LEFT(TEXT(A110,"mmmm"),1))&amp;RIGHT(TEXT(A110,"mmmm"),LEN(TEXT(A110,"mmmm"))-1),UPPER(LEFT(TEXT(DATE(YEAR(A110),MONTH(A110)+1,1),"mmmm"),1))&amp;RIGHT(TEXT(DATE(YEAR(A110),MONTH(A110)+1,1),"mmmm"),LEN(TEXT(DATE(YEAR(A110),MONTH(A110)+1,1),"mmmm"))-1))</f>
        <v>Janvier</v>
      </c>
      <c r="P110" s="6" t="str">
        <f ca="1">IF(AND(A110&lt;=TODAY(),F110&lt;&gt;""),"OK","NON")</f>
        <v>NON</v>
      </c>
    </row>
    <row r="111" spans="1:16">
      <c r="A111" s="4"/>
      <c r="B111" s="5"/>
      <c r="C111" s="5"/>
      <c r="D111" s="6"/>
      <c r="E111" s="6"/>
      <c r="F111" s="7"/>
      <c r="G111" s="8" cm="1">
        <f t="array" ref="G111">IFERROR(
  IF(D111&lt;&gt;"Cédric",
     0,
     SUMPRODUCT(
       (TRIM(SUBSTITUTE(UPPER($B$2:$B111),CHAR(160),""))=TRIM(SUBSTITUTE(UPPER(B111),CHAR(160),"")))*
       (TRIM(SUBSTITUTE(UPPER($C$2:$C111),CHAR(160),""))=TRIM(SUBSTITUTE(UPPER(C111),CHAR(160),"")))*
       (TRIM(SUBSTITUTE(UPPER($D$2:$D111),CHAR(160),""))=TRIM(SUBSTITUTE(UPPER(D111),CHAR(160),"")))*
       (TRIM(SUBSTITUTE(UPPER($E$2:$E111),CHAR(160),""))=TRIM(SUBSTITUTE(UPPER(E111),CHAR(160),"")))
     )
  ),
  0
)</f>
        <v>0</v>
      </c>
      <c r="H111" s="8" cm="1">
        <f t="array" ref="H111">IFERROR(
  IF(D111&lt;&gt;"Geoffroy",
     0,
     SUMPRODUCT(
       (TRIM(SUBSTITUTE(UPPER($B$2:$B111),CHAR(160),""))=TRIM(SUBSTITUTE(UPPER(B111),CHAR(160),"")))*
       (TRIM(SUBSTITUTE(UPPER($C$2:$C111),CHAR(160),""))=TRIM(SUBSTITUTE(UPPER(C111),CHAR(160),"")))*
       (TRIM(SUBSTITUTE(UPPER($D$2:$D111),CHAR(160),""))=TRIM(SUBSTITUTE(UPPER(D111),CHAR(160),"")))*
       (TRIM(SUBSTITUTE(UPPER($E$2:$E111),CHAR(160),""))=TRIM(SUBSTITUTE(UPPER(E111),CHAR(160),"")))
     )
  ),
  0
)</f>
        <v>0</v>
      </c>
      <c r="I111" s="8" cm="1">
        <f t="array" ref="I111">IFERROR(
  IF(D111&lt;&gt;"Tiphaine",
     0,
     SUMPRODUCT(
       (TRIM(SUBSTITUTE(UPPER($B$2:$B111),CHAR(160),""))=TRIM(SUBSTITUTE(UPPER(B111),CHAR(160),"")))*
       (TRIM(SUBSTITUTE(UPPER($C$2:$C111),CHAR(160),""))=TRIM(SUBSTITUTE(UPPER(C111),CHAR(160),"")))*
       (TRIM(SUBSTITUTE(UPPER($D$2:$D111),CHAR(160),""))=TRIM(SUBSTITUTE(UPPER(D111),CHAR(160),"")))*
       (TRIM(SUBSTITUTE(UPPER($E$2:$E111),CHAR(160),""))=TRIM(SUBSTITUTE(UPPER(E111),CHAR(160),"")))
     )
  ),
  0
)</f>
        <v>0</v>
      </c>
      <c r="J111" s="8" cm="1">
        <f t="array" ref="J111">IFERROR(
  IF(D111&lt;&gt;"Catherine",
     0,
     SUMPRODUCT(
       (TRIM(SUBSTITUTE(UPPER($B$2:$B111),CHAR(160),""))=TRIM(SUBSTITUTE(UPPER(B111),CHAR(160),"")))*
       (TRIM(SUBSTITUTE(UPPER($C$2:$C111),CHAR(160),""))=TRIM(SUBSTITUTE(UPPER(C111),CHAR(160),"")))*
       (TRIM(SUBSTITUTE(UPPER($D$2:$D111),CHAR(160),""))=TRIM(SUBSTITUTE(UPPER(D111),CHAR(160),"")))*
       (TRIM(SUBSTITUTE(UPPER($E$2:$E111),CHAR(160),""))=TRIM(SUBSTITUTE(UPPER(E111),CHAR(160),"")))
     )
  ),
  0
)</f>
        <v>0</v>
      </c>
      <c r="K111" s="9">
        <f>IFERROR(
  IF(
    D111&lt;&gt;"Cédric",
    0,
    IF(
      C111="",
      IF(
        COUNTIFS($B$2:B111,B111,$E$2:E111,E111,$D$2:D111,D111)=1,
        INDEX([1]DB!$A:$A,MATCH($E111,[1]DB!$D:$D,0)),
        IF(
          COUNTIFS($B$2:B111,B111,$E$2:E111,E111,$D$2:D111,D111)=2,
          INDEX([1]DB!$B:$B,MATCH($E111,[1]DB!$D:$D,0)),
          INDEX([1]DB!$C:$C,MATCH($E111,[1]DB!$D:$D,0))
        )
      ),
      IF(
        COUNTIFS($C$2:C111,C111,$E$2:E111,E111,$D$2:D111,D111)=1,
        INDEX([1]DB!$A:$A,MATCH($E111,[1]DB!$D:$D,0)),
        IF(
          COUNTIFS($C$2:C111,C111,$E$2:E111,E111,$D$2:D111,D111)=2,
          INDEX([1]DB!$B:$B,MATCH($E111,[1]DB!$D:$D,0)),
          INDEX([1]DB!$C:$C,MATCH($E111,[1]DB!$D:$D,0))
        )
      )
    )
  ),
  0
)</f>
        <v>0</v>
      </c>
      <c r="L111" s="9">
        <f>IFERROR(
  IF(
    D111&lt;&gt;"Geoffroy",
    0,
    IF(
      C111="",
      IF(
        COUNTIFS($B$2:B111,B111,$E$2:E111,E111,$D$2:D111,D111)=1,
        INDEX([1]DB!$A:$A,MATCH($E111,[1]DB!$D:$D,0)),
        IF(
          COUNTIFS($B$2:B111,B111,$E$2:E111,E111,$D$2:D111,D111)=2,
          INDEX([1]DB!$B:$B,MATCH($E111,[1]DB!$D:$D,0)),
          INDEX([1]DB!$C:$C,MATCH($E111,[1]DB!$D:$D,0))
        )
      ),
      IF(
        COUNTIFS($C$2:C111,C111,$E$2:E111,E111,$D$2:D111,D111)=1,
        INDEX([1]DB!$A:$A,MATCH($E111,[1]DB!$D:$D,0)),
        IF(
          COUNTIFS($C$2:C111,C111,$E$2:E111,E111,$D$2:D111,D111)=2,
          INDEX([1]DB!$B:$B,MATCH($E111,[1]DB!$D:$D,0)),
          INDEX([1]DB!$C:$C,MATCH($E111,[1]DB!$D:$D,0))
        )
      )
    )
  ),
  0
)</f>
        <v>0</v>
      </c>
      <c r="M111" s="9">
        <f>IFERROR(
  IF(
    D111&lt;&gt;"Tiphaine",
    0,
    IF(
      C111="",
      IF(
        COUNTIFS($B$2:B111,B111,$E$2:E111,E111,$D$2:D111,D111)=1,
        INDEX([1]DB!$A:$A,MATCH($E111,[1]DB!$D:$D,0)),
        IF(
          COUNTIFS($B$2:B111,B111,$E$2:E111,E111,$D$2:D111,D111)=2,
          INDEX([1]DB!$B:$B,MATCH($E111,[1]DB!$D:$D,0)),
          INDEX([1]DB!$C:$C,MATCH($E111,[1]DB!$D:$D,0))
        )
      ),
      IF(
        COUNTIFS($C$2:C111,C111,$E$2:E111,E111,$D$2:D111,D111)=1,
        INDEX([1]DB!$A:$A,MATCH($E111,[1]DB!$D:$D,0)),
        IF(
          COUNTIFS($C$2:C111,C111,$E$2:E111,E111,$D$2:D111,D111)=2,
          INDEX([1]DB!$B:$B,MATCH($E111,[1]DB!$D:$D,0)),
          INDEX([1]DB!$C:$C,MATCH($E111,[1]DB!$D:$D,0))
        )
      )
    )
  ),
  0
)</f>
        <v>0</v>
      </c>
      <c r="N111" s="9">
        <f>IFERROR(
  IF(
    D111&lt;&gt;"Catherine",
    0,
    IF(
      C111="",
      IF(
        COUNTIFS($B$2:B111,B111,$E$2:E111,E111,$D$2:D111,D111)=1,
        INDEX([1]DB!$A:$A,MATCH($E111,[1]DB!$D:$D,0)),
        IF(
          COUNTIFS($B$2:B111,B111,$E$2:E111,E111,$D$2:D111,D111)=2,
          INDEX([1]DB!$B:$B,MATCH($E111,[1]DB!$D:$D,0)),
          INDEX([1]DB!$C:$C,MATCH($E111,[1]DB!$D:$D,0))
        )
      ),
      IF(
        COUNTIFS($C$2:C111,C111,$E$2:E111,E111,$D$2:D111,D111)=1,
        INDEX([1]DB!$A:$A,MATCH($E111,[1]DB!$D:$D,0)),
        IF(
          COUNTIFS($C$2:C111,C111,$E$2:E111,E111,$D$2:D111,D111)=2,
          INDEX([1]DB!$B:$B,MATCH($E111,[1]DB!$D:$D,0)),
          INDEX([1]DB!$C:$C,MATCH($E111,[1]DB!$D:$D,0))
        )
      )
    )
  ),
  0
)</f>
        <v>0</v>
      </c>
      <c r="O111" s="5" t="str">
        <f>IF(DAY(A111)&lt;=15,UPPER(LEFT(TEXT(A111,"mmmm"),1))&amp;RIGHT(TEXT(A111,"mmmm"),LEN(TEXT(A111,"mmmm"))-1),UPPER(LEFT(TEXT(DATE(YEAR(A111),MONTH(A111)+1,1),"mmmm"),1))&amp;RIGHT(TEXT(DATE(YEAR(A111),MONTH(A111)+1,1),"mmmm"),LEN(TEXT(DATE(YEAR(A111),MONTH(A111)+1,1),"mmmm"))-1))</f>
        <v>Janvier</v>
      </c>
      <c r="P111" s="6" t="str">
        <f ca="1">IF(AND(A111&lt;=TODAY(),F111&lt;&gt;""),"OK","NON")</f>
        <v>NON</v>
      </c>
    </row>
    <row r="112" spans="1:16">
      <c r="A112" s="4"/>
      <c r="B112" s="5"/>
      <c r="C112" s="5"/>
      <c r="D112" s="6"/>
      <c r="E112" s="6"/>
      <c r="F112" s="7"/>
      <c r="G112" s="8" cm="1">
        <f t="array" ref="G112">IFERROR(
  IF(D112&lt;&gt;"Cédric",
     0,
     SUMPRODUCT(
       (TRIM(SUBSTITUTE(UPPER($B$2:$B112),CHAR(160),""))=TRIM(SUBSTITUTE(UPPER(B112),CHAR(160),"")))*
       (TRIM(SUBSTITUTE(UPPER($C$2:$C112),CHAR(160),""))=TRIM(SUBSTITUTE(UPPER(C112),CHAR(160),"")))*
       (TRIM(SUBSTITUTE(UPPER($D$2:$D112),CHAR(160),""))=TRIM(SUBSTITUTE(UPPER(D112),CHAR(160),"")))*
       (TRIM(SUBSTITUTE(UPPER($E$2:$E112),CHAR(160),""))=TRIM(SUBSTITUTE(UPPER(E112),CHAR(160),"")))
     )
  ),
  0
)</f>
        <v>0</v>
      </c>
      <c r="H112" s="8" cm="1">
        <f t="array" ref="H112">IFERROR(
  IF(D112&lt;&gt;"Geoffroy",
     0,
     SUMPRODUCT(
       (TRIM(SUBSTITUTE(UPPER($B$2:$B112),CHAR(160),""))=TRIM(SUBSTITUTE(UPPER(B112),CHAR(160),"")))*
       (TRIM(SUBSTITUTE(UPPER($C$2:$C112),CHAR(160),""))=TRIM(SUBSTITUTE(UPPER(C112),CHAR(160),"")))*
       (TRIM(SUBSTITUTE(UPPER($D$2:$D112),CHAR(160),""))=TRIM(SUBSTITUTE(UPPER(D112),CHAR(160),"")))*
       (TRIM(SUBSTITUTE(UPPER($E$2:$E112),CHAR(160),""))=TRIM(SUBSTITUTE(UPPER(E112),CHAR(160),"")))
     )
  ),
  0
)</f>
        <v>0</v>
      </c>
      <c r="I112" s="8" cm="1">
        <f t="array" ref="I112">IFERROR(
  IF(D112&lt;&gt;"Tiphaine",
     0,
     SUMPRODUCT(
       (TRIM(SUBSTITUTE(UPPER($B$2:$B112),CHAR(160),""))=TRIM(SUBSTITUTE(UPPER(B112),CHAR(160),"")))*
       (TRIM(SUBSTITUTE(UPPER($C$2:$C112),CHAR(160),""))=TRIM(SUBSTITUTE(UPPER(C112),CHAR(160),"")))*
       (TRIM(SUBSTITUTE(UPPER($D$2:$D112),CHAR(160),""))=TRIM(SUBSTITUTE(UPPER(D112),CHAR(160),"")))*
       (TRIM(SUBSTITUTE(UPPER($E$2:$E112),CHAR(160),""))=TRIM(SUBSTITUTE(UPPER(E112),CHAR(160),"")))
     )
  ),
  0
)</f>
        <v>0</v>
      </c>
      <c r="J112" s="8" cm="1">
        <f t="array" ref="J112">IFERROR(
  IF(D112&lt;&gt;"Catherine",
     0,
     SUMPRODUCT(
       (TRIM(SUBSTITUTE(UPPER($B$2:$B112),CHAR(160),""))=TRIM(SUBSTITUTE(UPPER(B112),CHAR(160),"")))*
       (TRIM(SUBSTITUTE(UPPER($C$2:$C112),CHAR(160),""))=TRIM(SUBSTITUTE(UPPER(C112),CHAR(160),"")))*
       (TRIM(SUBSTITUTE(UPPER($D$2:$D112),CHAR(160),""))=TRIM(SUBSTITUTE(UPPER(D112),CHAR(160),"")))*
       (TRIM(SUBSTITUTE(UPPER($E$2:$E112),CHAR(160),""))=TRIM(SUBSTITUTE(UPPER(E112),CHAR(160),"")))
     )
  ),
  0
)</f>
        <v>0</v>
      </c>
      <c r="K112" s="9">
        <f>IFERROR(
  IF(
    D112&lt;&gt;"Cédric",
    0,
    IF(
      C112="",
      IF(
        COUNTIFS($B$2:B112,B112,$E$2:E112,E112,$D$2:D112,D112)=1,
        INDEX([1]DB!$A:$A,MATCH($E112,[1]DB!$D:$D,0)),
        IF(
          COUNTIFS($B$2:B112,B112,$E$2:E112,E112,$D$2:D112,D112)=2,
          INDEX([1]DB!$B:$B,MATCH($E112,[1]DB!$D:$D,0)),
          INDEX([1]DB!$C:$C,MATCH($E112,[1]DB!$D:$D,0))
        )
      ),
      IF(
        COUNTIFS($C$2:C112,C112,$E$2:E112,E112,$D$2:D112,D112)=1,
        INDEX([1]DB!$A:$A,MATCH($E112,[1]DB!$D:$D,0)),
        IF(
          COUNTIFS($C$2:C112,C112,$E$2:E112,E112,$D$2:D112,D112)=2,
          INDEX([1]DB!$B:$B,MATCH($E112,[1]DB!$D:$D,0)),
          INDEX([1]DB!$C:$C,MATCH($E112,[1]DB!$D:$D,0))
        )
      )
    )
  ),
  0
)</f>
        <v>0</v>
      </c>
      <c r="L112" s="9">
        <f>IFERROR(
  IF(
    D112&lt;&gt;"Geoffroy",
    0,
    IF(
      C112="",
      IF(
        COUNTIFS($B$2:B112,B112,$E$2:E112,E112,$D$2:D112,D112)=1,
        INDEX([1]DB!$A:$A,MATCH($E112,[1]DB!$D:$D,0)),
        IF(
          COUNTIFS($B$2:B112,B112,$E$2:E112,E112,$D$2:D112,D112)=2,
          INDEX([1]DB!$B:$B,MATCH($E112,[1]DB!$D:$D,0)),
          INDEX([1]DB!$C:$C,MATCH($E112,[1]DB!$D:$D,0))
        )
      ),
      IF(
        COUNTIFS($C$2:C112,C112,$E$2:E112,E112,$D$2:D112,D112)=1,
        INDEX([1]DB!$A:$A,MATCH($E112,[1]DB!$D:$D,0)),
        IF(
          COUNTIFS($C$2:C112,C112,$E$2:E112,E112,$D$2:D112,D112)=2,
          INDEX([1]DB!$B:$B,MATCH($E112,[1]DB!$D:$D,0)),
          INDEX([1]DB!$C:$C,MATCH($E112,[1]DB!$D:$D,0))
        )
      )
    )
  ),
  0
)</f>
        <v>0</v>
      </c>
      <c r="M112" s="9">
        <f>IFERROR(
  IF(
    D112&lt;&gt;"Tiphaine",
    0,
    IF(
      C112="",
      IF(
        COUNTIFS($B$2:B112,B112,$E$2:E112,E112,$D$2:D112,D112)=1,
        INDEX([1]DB!$A:$A,MATCH($E112,[1]DB!$D:$D,0)),
        IF(
          COUNTIFS($B$2:B112,B112,$E$2:E112,E112,$D$2:D112,D112)=2,
          INDEX([1]DB!$B:$B,MATCH($E112,[1]DB!$D:$D,0)),
          INDEX([1]DB!$C:$C,MATCH($E112,[1]DB!$D:$D,0))
        )
      ),
      IF(
        COUNTIFS($C$2:C112,C112,$E$2:E112,E112,$D$2:D112,D112)=1,
        INDEX([1]DB!$A:$A,MATCH($E112,[1]DB!$D:$D,0)),
        IF(
          COUNTIFS($C$2:C112,C112,$E$2:E112,E112,$D$2:D112,D112)=2,
          INDEX([1]DB!$B:$B,MATCH($E112,[1]DB!$D:$D,0)),
          INDEX([1]DB!$C:$C,MATCH($E112,[1]DB!$D:$D,0))
        )
      )
    )
  ),
  0
)</f>
        <v>0</v>
      </c>
      <c r="N112" s="9">
        <f>IFERROR(
  IF(
    D112&lt;&gt;"Catherine",
    0,
    IF(
      C112="",
      IF(
        COUNTIFS($B$2:B112,B112,$E$2:E112,E112,$D$2:D112,D112)=1,
        INDEX([1]DB!$A:$A,MATCH($E112,[1]DB!$D:$D,0)),
        IF(
          COUNTIFS($B$2:B112,B112,$E$2:E112,E112,$D$2:D112,D112)=2,
          INDEX([1]DB!$B:$B,MATCH($E112,[1]DB!$D:$D,0)),
          INDEX([1]DB!$C:$C,MATCH($E112,[1]DB!$D:$D,0))
        )
      ),
      IF(
        COUNTIFS($C$2:C112,C112,$E$2:E112,E112,$D$2:D112,D112)=1,
        INDEX([1]DB!$A:$A,MATCH($E112,[1]DB!$D:$D,0)),
        IF(
          COUNTIFS($C$2:C112,C112,$E$2:E112,E112,$D$2:D112,D112)=2,
          INDEX([1]DB!$B:$B,MATCH($E112,[1]DB!$D:$D,0)),
          INDEX([1]DB!$C:$C,MATCH($E112,[1]DB!$D:$D,0))
        )
      )
    )
  ),
  0
)</f>
        <v>0</v>
      </c>
      <c r="O112" s="5" t="str">
        <f>IF(DAY(A112)&lt;=15,UPPER(LEFT(TEXT(A112,"mmmm"),1))&amp;RIGHT(TEXT(A112,"mmmm"),LEN(TEXT(A112,"mmmm"))-1),UPPER(LEFT(TEXT(DATE(YEAR(A112),MONTH(A112)+1,1),"mmmm"),1))&amp;RIGHT(TEXT(DATE(YEAR(A112),MONTH(A112)+1,1),"mmmm"),LEN(TEXT(DATE(YEAR(A112),MONTH(A112)+1,1),"mmmm"))-1))</f>
        <v>Janvier</v>
      </c>
      <c r="P112" s="6" t="str">
        <f ca="1">IF(AND(A112&lt;=TODAY(),F112&lt;&gt;""),"OK","NON")</f>
        <v>NON</v>
      </c>
    </row>
    <row r="113" spans="1:16">
      <c r="A113" s="4"/>
      <c r="B113" s="5"/>
      <c r="C113" s="5"/>
      <c r="D113" s="6"/>
      <c r="E113" s="6"/>
      <c r="F113" s="7"/>
      <c r="G113" s="8" cm="1">
        <f t="array" ref="G113">IFERROR(
  IF(D113&lt;&gt;"Cédric",
     0,
     SUMPRODUCT(
       (TRIM(SUBSTITUTE(UPPER($B$2:$B113),CHAR(160),""))=TRIM(SUBSTITUTE(UPPER(B113),CHAR(160),"")))*
       (TRIM(SUBSTITUTE(UPPER($C$2:$C113),CHAR(160),""))=TRIM(SUBSTITUTE(UPPER(C113),CHAR(160),"")))*
       (TRIM(SUBSTITUTE(UPPER($D$2:$D113),CHAR(160),""))=TRIM(SUBSTITUTE(UPPER(D113),CHAR(160),"")))*
       (TRIM(SUBSTITUTE(UPPER($E$2:$E113),CHAR(160),""))=TRIM(SUBSTITUTE(UPPER(E113),CHAR(160),"")))
     )
  ),
  0
)</f>
        <v>0</v>
      </c>
      <c r="H113" s="8" cm="1">
        <f t="array" ref="H113">IFERROR(
  IF(D113&lt;&gt;"Geoffroy",
     0,
     SUMPRODUCT(
       (TRIM(SUBSTITUTE(UPPER($B$2:$B113),CHAR(160),""))=TRIM(SUBSTITUTE(UPPER(B113),CHAR(160),"")))*
       (TRIM(SUBSTITUTE(UPPER($C$2:$C113),CHAR(160),""))=TRIM(SUBSTITUTE(UPPER(C113),CHAR(160),"")))*
       (TRIM(SUBSTITUTE(UPPER($D$2:$D113),CHAR(160),""))=TRIM(SUBSTITUTE(UPPER(D113),CHAR(160),"")))*
       (TRIM(SUBSTITUTE(UPPER($E$2:$E113),CHAR(160),""))=TRIM(SUBSTITUTE(UPPER(E113),CHAR(160),"")))
     )
  ),
  0
)</f>
        <v>0</v>
      </c>
      <c r="I113" s="8" cm="1">
        <f t="array" ref="I113">IFERROR(
  IF(D113&lt;&gt;"Tiphaine",
     0,
     SUMPRODUCT(
       (TRIM(SUBSTITUTE(UPPER($B$2:$B113),CHAR(160),""))=TRIM(SUBSTITUTE(UPPER(B113),CHAR(160),"")))*
       (TRIM(SUBSTITUTE(UPPER($C$2:$C113),CHAR(160),""))=TRIM(SUBSTITUTE(UPPER(C113),CHAR(160),"")))*
       (TRIM(SUBSTITUTE(UPPER($D$2:$D113),CHAR(160),""))=TRIM(SUBSTITUTE(UPPER(D113),CHAR(160),"")))*
       (TRIM(SUBSTITUTE(UPPER($E$2:$E113),CHAR(160),""))=TRIM(SUBSTITUTE(UPPER(E113),CHAR(160),"")))
     )
  ),
  0
)</f>
        <v>0</v>
      </c>
      <c r="J113" s="8" cm="1">
        <f t="array" ref="J113">IFERROR(
  IF(D113&lt;&gt;"Catherine",
     0,
     SUMPRODUCT(
       (TRIM(SUBSTITUTE(UPPER($B$2:$B113),CHAR(160),""))=TRIM(SUBSTITUTE(UPPER(B113),CHAR(160),"")))*
       (TRIM(SUBSTITUTE(UPPER($C$2:$C113),CHAR(160),""))=TRIM(SUBSTITUTE(UPPER(C113),CHAR(160),"")))*
       (TRIM(SUBSTITUTE(UPPER($D$2:$D113),CHAR(160),""))=TRIM(SUBSTITUTE(UPPER(D113),CHAR(160),"")))*
       (TRIM(SUBSTITUTE(UPPER($E$2:$E113),CHAR(160),""))=TRIM(SUBSTITUTE(UPPER(E113),CHAR(160),"")))
     )
  ),
  0
)</f>
        <v>0</v>
      </c>
      <c r="K113" s="9">
        <f>IFERROR(
  IF(
    D113&lt;&gt;"Cédric",
    0,
    IF(
      C113="",
      IF(
        COUNTIFS($B$2:B113,B113,$E$2:E113,E113,$D$2:D113,D113)=1,
        INDEX([1]DB!$A:$A,MATCH($E113,[1]DB!$D:$D,0)),
        IF(
          COUNTIFS($B$2:B113,B113,$E$2:E113,E113,$D$2:D113,D113)=2,
          INDEX([1]DB!$B:$B,MATCH($E113,[1]DB!$D:$D,0)),
          INDEX([1]DB!$C:$C,MATCH($E113,[1]DB!$D:$D,0))
        )
      ),
      IF(
        COUNTIFS($C$2:C113,C113,$E$2:E113,E113,$D$2:D113,D113)=1,
        INDEX([1]DB!$A:$A,MATCH($E113,[1]DB!$D:$D,0)),
        IF(
          COUNTIFS($C$2:C113,C113,$E$2:E113,E113,$D$2:D113,D113)=2,
          INDEX([1]DB!$B:$B,MATCH($E113,[1]DB!$D:$D,0)),
          INDEX([1]DB!$C:$C,MATCH($E113,[1]DB!$D:$D,0))
        )
      )
    )
  ),
  0
)</f>
        <v>0</v>
      </c>
      <c r="L113" s="9">
        <f>IFERROR(
  IF(
    D113&lt;&gt;"Geoffroy",
    0,
    IF(
      C113="",
      IF(
        COUNTIFS($B$2:B113,B113,$E$2:E113,E113,$D$2:D113,D113)=1,
        INDEX([1]DB!$A:$A,MATCH($E113,[1]DB!$D:$D,0)),
        IF(
          COUNTIFS($B$2:B113,B113,$E$2:E113,E113,$D$2:D113,D113)=2,
          INDEX([1]DB!$B:$B,MATCH($E113,[1]DB!$D:$D,0)),
          INDEX([1]DB!$C:$C,MATCH($E113,[1]DB!$D:$D,0))
        )
      ),
      IF(
        COUNTIFS($C$2:C113,C113,$E$2:E113,E113,$D$2:D113,D113)=1,
        INDEX([1]DB!$A:$A,MATCH($E113,[1]DB!$D:$D,0)),
        IF(
          COUNTIFS($C$2:C113,C113,$E$2:E113,E113,$D$2:D113,D113)=2,
          INDEX([1]DB!$B:$B,MATCH($E113,[1]DB!$D:$D,0)),
          INDEX([1]DB!$C:$C,MATCH($E113,[1]DB!$D:$D,0))
        )
      )
    )
  ),
  0
)</f>
        <v>0</v>
      </c>
      <c r="M113" s="9">
        <f>IFERROR(
  IF(
    D113&lt;&gt;"Tiphaine",
    0,
    IF(
      C113="",
      IF(
        COUNTIFS($B$2:B113,B113,$E$2:E113,E113,$D$2:D113,D113)=1,
        INDEX([1]DB!$A:$A,MATCH($E113,[1]DB!$D:$D,0)),
        IF(
          COUNTIFS($B$2:B113,B113,$E$2:E113,E113,$D$2:D113,D113)=2,
          INDEX([1]DB!$B:$B,MATCH($E113,[1]DB!$D:$D,0)),
          INDEX([1]DB!$C:$C,MATCH($E113,[1]DB!$D:$D,0))
        )
      ),
      IF(
        COUNTIFS($C$2:C113,C113,$E$2:E113,E113,$D$2:D113,D113)=1,
        INDEX([1]DB!$A:$A,MATCH($E113,[1]DB!$D:$D,0)),
        IF(
          COUNTIFS($C$2:C113,C113,$E$2:E113,E113,$D$2:D113,D113)=2,
          INDEX([1]DB!$B:$B,MATCH($E113,[1]DB!$D:$D,0)),
          INDEX([1]DB!$C:$C,MATCH($E113,[1]DB!$D:$D,0))
        )
      )
    )
  ),
  0
)</f>
        <v>0</v>
      </c>
      <c r="N113" s="9">
        <f>IFERROR(
  IF(
    D113&lt;&gt;"Catherine",
    0,
    IF(
      C113="",
      IF(
        COUNTIFS($B$2:B113,B113,$E$2:E113,E113,$D$2:D113,D113)=1,
        INDEX([1]DB!$A:$A,MATCH($E113,[1]DB!$D:$D,0)),
        IF(
          COUNTIFS($B$2:B113,B113,$E$2:E113,E113,$D$2:D113,D113)=2,
          INDEX([1]DB!$B:$B,MATCH($E113,[1]DB!$D:$D,0)),
          INDEX([1]DB!$C:$C,MATCH($E113,[1]DB!$D:$D,0))
        )
      ),
      IF(
        COUNTIFS($C$2:C113,C113,$E$2:E113,E113,$D$2:D113,D113)=1,
        INDEX([1]DB!$A:$A,MATCH($E113,[1]DB!$D:$D,0)),
        IF(
          COUNTIFS($C$2:C113,C113,$E$2:E113,E113,$D$2:D113,D113)=2,
          INDEX([1]DB!$B:$B,MATCH($E113,[1]DB!$D:$D,0)),
          INDEX([1]DB!$C:$C,MATCH($E113,[1]DB!$D:$D,0))
        )
      )
    )
  ),
  0
)</f>
        <v>0</v>
      </c>
      <c r="O113" s="5" t="str">
        <f>IF(DAY(A113)&lt;=15,UPPER(LEFT(TEXT(A113,"mmmm"),1))&amp;RIGHT(TEXT(A113,"mmmm"),LEN(TEXT(A113,"mmmm"))-1),UPPER(LEFT(TEXT(DATE(YEAR(A113),MONTH(A113)+1,1),"mmmm"),1))&amp;RIGHT(TEXT(DATE(YEAR(A113),MONTH(A113)+1,1),"mmmm"),LEN(TEXT(DATE(YEAR(A113),MONTH(A113)+1,1),"mmmm"))-1))</f>
        <v>Janvier</v>
      </c>
      <c r="P113" s="6" t="str">
        <f ca="1">IF(AND(A113&lt;=TODAY(),F113&lt;&gt;""),"OK","NON")</f>
        <v>NON</v>
      </c>
    </row>
    <row r="114" spans="1:16">
      <c r="A114" s="4"/>
      <c r="B114" s="5"/>
      <c r="C114" s="5"/>
      <c r="D114" s="6"/>
      <c r="E114" s="6"/>
      <c r="F114" s="7"/>
      <c r="G114" s="8" cm="1">
        <f t="array" ref="G114">IFERROR(
  IF(D114&lt;&gt;"Cédric",
     0,
     SUMPRODUCT(
       (TRIM(SUBSTITUTE(UPPER($B$2:$B114),CHAR(160),""))=TRIM(SUBSTITUTE(UPPER(B114),CHAR(160),"")))*
       (TRIM(SUBSTITUTE(UPPER($C$2:$C114),CHAR(160),""))=TRIM(SUBSTITUTE(UPPER(C114),CHAR(160),"")))*
       (TRIM(SUBSTITUTE(UPPER($D$2:$D114),CHAR(160),""))=TRIM(SUBSTITUTE(UPPER(D114),CHAR(160),"")))*
       (TRIM(SUBSTITUTE(UPPER($E$2:$E114),CHAR(160),""))=TRIM(SUBSTITUTE(UPPER(E114),CHAR(160),"")))
     )
  ),
  0
)</f>
        <v>0</v>
      </c>
      <c r="H114" s="8" cm="1">
        <f t="array" ref="H114">IFERROR(
  IF(D114&lt;&gt;"Geoffroy",
     0,
     SUMPRODUCT(
       (TRIM(SUBSTITUTE(UPPER($B$2:$B114),CHAR(160),""))=TRIM(SUBSTITUTE(UPPER(B114),CHAR(160),"")))*
       (TRIM(SUBSTITUTE(UPPER($C$2:$C114),CHAR(160),""))=TRIM(SUBSTITUTE(UPPER(C114),CHAR(160),"")))*
       (TRIM(SUBSTITUTE(UPPER($D$2:$D114),CHAR(160),""))=TRIM(SUBSTITUTE(UPPER(D114),CHAR(160),"")))*
       (TRIM(SUBSTITUTE(UPPER($E$2:$E114),CHAR(160),""))=TRIM(SUBSTITUTE(UPPER(E114),CHAR(160),"")))
     )
  ),
  0
)</f>
        <v>0</v>
      </c>
      <c r="I114" s="8" cm="1">
        <f t="array" ref="I114">IFERROR(
  IF(D114&lt;&gt;"Tiphaine",
     0,
     SUMPRODUCT(
       (TRIM(SUBSTITUTE(UPPER($B$2:$B114),CHAR(160),""))=TRIM(SUBSTITUTE(UPPER(B114),CHAR(160),"")))*
       (TRIM(SUBSTITUTE(UPPER($C$2:$C114),CHAR(160),""))=TRIM(SUBSTITUTE(UPPER(C114),CHAR(160),"")))*
       (TRIM(SUBSTITUTE(UPPER($D$2:$D114),CHAR(160),""))=TRIM(SUBSTITUTE(UPPER(D114),CHAR(160),"")))*
       (TRIM(SUBSTITUTE(UPPER($E$2:$E114),CHAR(160),""))=TRIM(SUBSTITUTE(UPPER(E114),CHAR(160),"")))
     )
  ),
  0
)</f>
        <v>0</v>
      </c>
      <c r="J114" s="8" cm="1">
        <f t="array" ref="J114">IFERROR(
  IF(D114&lt;&gt;"Catherine",
     0,
     SUMPRODUCT(
       (TRIM(SUBSTITUTE(UPPER($B$2:$B114),CHAR(160),""))=TRIM(SUBSTITUTE(UPPER(B114),CHAR(160),"")))*
       (TRIM(SUBSTITUTE(UPPER($C$2:$C114),CHAR(160),""))=TRIM(SUBSTITUTE(UPPER(C114),CHAR(160),"")))*
       (TRIM(SUBSTITUTE(UPPER($D$2:$D114),CHAR(160),""))=TRIM(SUBSTITUTE(UPPER(D114),CHAR(160),"")))*
       (TRIM(SUBSTITUTE(UPPER($E$2:$E114),CHAR(160),""))=TRIM(SUBSTITUTE(UPPER(E114),CHAR(160),"")))
     )
  ),
  0
)</f>
        <v>0</v>
      </c>
      <c r="K114" s="9">
        <f>IFERROR(
  IF(
    D114&lt;&gt;"Cédric",
    0,
    IF(
      C114="",
      IF(
        COUNTIFS($B$2:B114,B114,$E$2:E114,E114,$D$2:D114,D114)=1,
        INDEX([1]DB!$A:$A,MATCH($E114,[1]DB!$D:$D,0)),
        IF(
          COUNTIFS($B$2:B114,B114,$E$2:E114,E114,$D$2:D114,D114)=2,
          INDEX([1]DB!$B:$B,MATCH($E114,[1]DB!$D:$D,0)),
          INDEX([1]DB!$C:$C,MATCH($E114,[1]DB!$D:$D,0))
        )
      ),
      IF(
        COUNTIFS($C$2:C114,C114,$E$2:E114,E114,$D$2:D114,D114)=1,
        INDEX([1]DB!$A:$A,MATCH($E114,[1]DB!$D:$D,0)),
        IF(
          COUNTIFS($C$2:C114,C114,$E$2:E114,E114,$D$2:D114,D114)=2,
          INDEX([1]DB!$B:$B,MATCH($E114,[1]DB!$D:$D,0)),
          INDEX([1]DB!$C:$C,MATCH($E114,[1]DB!$D:$D,0))
        )
      )
    )
  ),
  0
)</f>
        <v>0</v>
      </c>
      <c r="L114" s="9">
        <f>IFERROR(
  IF(
    D114&lt;&gt;"Geoffroy",
    0,
    IF(
      C114="",
      IF(
        COUNTIFS($B$2:B114,B114,$E$2:E114,E114,$D$2:D114,D114)=1,
        INDEX([1]DB!$A:$A,MATCH($E114,[1]DB!$D:$D,0)),
        IF(
          COUNTIFS($B$2:B114,B114,$E$2:E114,E114,$D$2:D114,D114)=2,
          INDEX([1]DB!$B:$B,MATCH($E114,[1]DB!$D:$D,0)),
          INDEX([1]DB!$C:$C,MATCH($E114,[1]DB!$D:$D,0))
        )
      ),
      IF(
        COUNTIFS($C$2:C114,C114,$E$2:E114,E114,$D$2:D114,D114)=1,
        INDEX([1]DB!$A:$A,MATCH($E114,[1]DB!$D:$D,0)),
        IF(
          COUNTIFS($C$2:C114,C114,$E$2:E114,E114,$D$2:D114,D114)=2,
          INDEX([1]DB!$B:$B,MATCH($E114,[1]DB!$D:$D,0)),
          INDEX([1]DB!$C:$C,MATCH($E114,[1]DB!$D:$D,0))
        )
      )
    )
  ),
  0
)</f>
        <v>0</v>
      </c>
      <c r="M114" s="9">
        <f>IFERROR(
  IF(
    D114&lt;&gt;"Tiphaine",
    0,
    IF(
      C114="",
      IF(
        COUNTIFS($B$2:B114,B114,$E$2:E114,E114,$D$2:D114,D114)=1,
        INDEX([1]DB!$A:$A,MATCH($E114,[1]DB!$D:$D,0)),
        IF(
          COUNTIFS($B$2:B114,B114,$E$2:E114,E114,$D$2:D114,D114)=2,
          INDEX([1]DB!$B:$B,MATCH($E114,[1]DB!$D:$D,0)),
          INDEX([1]DB!$C:$C,MATCH($E114,[1]DB!$D:$D,0))
        )
      ),
      IF(
        COUNTIFS($C$2:C114,C114,$E$2:E114,E114,$D$2:D114,D114)=1,
        INDEX([1]DB!$A:$A,MATCH($E114,[1]DB!$D:$D,0)),
        IF(
          COUNTIFS($C$2:C114,C114,$E$2:E114,E114,$D$2:D114,D114)=2,
          INDEX([1]DB!$B:$B,MATCH($E114,[1]DB!$D:$D,0)),
          INDEX([1]DB!$C:$C,MATCH($E114,[1]DB!$D:$D,0))
        )
      )
    )
  ),
  0
)</f>
        <v>0</v>
      </c>
      <c r="N114" s="9">
        <f>IFERROR(
  IF(
    D114&lt;&gt;"Catherine",
    0,
    IF(
      C114="",
      IF(
        COUNTIFS($B$2:B114,B114,$E$2:E114,E114,$D$2:D114,D114)=1,
        INDEX([1]DB!$A:$A,MATCH($E114,[1]DB!$D:$D,0)),
        IF(
          COUNTIFS($B$2:B114,B114,$E$2:E114,E114,$D$2:D114,D114)=2,
          INDEX([1]DB!$B:$B,MATCH($E114,[1]DB!$D:$D,0)),
          INDEX([1]DB!$C:$C,MATCH($E114,[1]DB!$D:$D,0))
        )
      ),
      IF(
        COUNTIFS($C$2:C114,C114,$E$2:E114,E114,$D$2:D114,D114)=1,
        INDEX([1]DB!$A:$A,MATCH($E114,[1]DB!$D:$D,0)),
        IF(
          COUNTIFS($C$2:C114,C114,$E$2:E114,E114,$D$2:D114,D114)=2,
          INDEX([1]DB!$B:$B,MATCH($E114,[1]DB!$D:$D,0)),
          INDEX([1]DB!$C:$C,MATCH($E114,[1]DB!$D:$D,0))
        )
      )
    )
  ),
  0
)</f>
        <v>0</v>
      </c>
      <c r="O114" s="5" t="str">
        <f>IF(DAY(A114)&lt;=15,UPPER(LEFT(TEXT(A114,"mmmm"),1))&amp;RIGHT(TEXT(A114,"mmmm"),LEN(TEXT(A114,"mmmm"))-1),UPPER(LEFT(TEXT(DATE(YEAR(A114),MONTH(A114)+1,1),"mmmm"),1))&amp;RIGHT(TEXT(DATE(YEAR(A114),MONTH(A114)+1,1),"mmmm"),LEN(TEXT(DATE(YEAR(A114),MONTH(A114)+1,1),"mmmm"))-1))</f>
        <v>Janvier</v>
      </c>
      <c r="P114" s="6" t="str">
        <f ca="1">IF(AND(A114&lt;=TODAY(),F114&lt;&gt;""),"OK","NON")</f>
        <v>NON</v>
      </c>
    </row>
    <row r="115" spans="1:16">
      <c r="A115" s="4"/>
      <c r="B115" s="5"/>
      <c r="C115" s="5"/>
      <c r="D115" s="6"/>
      <c r="E115" s="6"/>
      <c r="F115" s="7"/>
      <c r="G115" s="8" cm="1">
        <f t="array" ref="G115">IFERROR(
  IF(D115&lt;&gt;"Cédric",
     0,
     SUMPRODUCT(
       (TRIM(SUBSTITUTE(UPPER($B$2:$B115),CHAR(160),""))=TRIM(SUBSTITUTE(UPPER(B115),CHAR(160),"")))*
       (TRIM(SUBSTITUTE(UPPER($C$2:$C115),CHAR(160),""))=TRIM(SUBSTITUTE(UPPER(C115),CHAR(160),"")))*
       (TRIM(SUBSTITUTE(UPPER($D$2:$D115),CHAR(160),""))=TRIM(SUBSTITUTE(UPPER(D115),CHAR(160),"")))*
       (TRIM(SUBSTITUTE(UPPER($E$2:$E115),CHAR(160),""))=TRIM(SUBSTITUTE(UPPER(E115),CHAR(160),"")))
     )
  ),
  0
)</f>
        <v>0</v>
      </c>
      <c r="H115" s="8" cm="1">
        <f t="array" ref="H115">IFERROR(
  IF(D115&lt;&gt;"Geoffroy",
     0,
     SUMPRODUCT(
       (TRIM(SUBSTITUTE(UPPER($B$2:$B115),CHAR(160),""))=TRIM(SUBSTITUTE(UPPER(B115),CHAR(160),"")))*
       (TRIM(SUBSTITUTE(UPPER($C$2:$C115),CHAR(160),""))=TRIM(SUBSTITUTE(UPPER(C115),CHAR(160),"")))*
       (TRIM(SUBSTITUTE(UPPER($D$2:$D115),CHAR(160),""))=TRIM(SUBSTITUTE(UPPER(D115),CHAR(160),"")))*
       (TRIM(SUBSTITUTE(UPPER($E$2:$E115),CHAR(160),""))=TRIM(SUBSTITUTE(UPPER(E115),CHAR(160),"")))
     )
  ),
  0
)</f>
        <v>0</v>
      </c>
      <c r="I115" s="8" cm="1">
        <f t="array" ref="I115">IFERROR(
  IF(D115&lt;&gt;"Tiphaine",
     0,
     SUMPRODUCT(
       (TRIM(SUBSTITUTE(UPPER($B$2:$B115),CHAR(160),""))=TRIM(SUBSTITUTE(UPPER(B115),CHAR(160),"")))*
       (TRIM(SUBSTITUTE(UPPER($C$2:$C115),CHAR(160),""))=TRIM(SUBSTITUTE(UPPER(C115),CHAR(160),"")))*
       (TRIM(SUBSTITUTE(UPPER($D$2:$D115),CHAR(160),""))=TRIM(SUBSTITUTE(UPPER(D115),CHAR(160),"")))*
       (TRIM(SUBSTITUTE(UPPER($E$2:$E115),CHAR(160),""))=TRIM(SUBSTITUTE(UPPER(E115),CHAR(160),"")))
     )
  ),
  0
)</f>
        <v>0</v>
      </c>
      <c r="J115" s="8" cm="1">
        <f t="array" ref="J115">IFERROR(
  IF(D115&lt;&gt;"Catherine",
     0,
     SUMPRODUCT(
       (TRIM(SUBSTITUTE(UPPER($B$2:$B115),CHAR(160),""))=TRIM(SUBSTITUTE(UPPER(B115),CHAR(160),"")))*
       (TRIM(SUBSTITUTE(UPPER($C$2:$C115),CHAR(160),""))=TRIM(SUBSTITUTE(UPPER(C115),CHAR(160),"")))*
       (TRIM(SUBSTITUTE(UPPER($D$2:$D115),CHAR(160),""))=TRIM(SUBSTITUTE(UPPER(D115),CHAR(160),"")))*
       (TRIM(SUBSTITUTE(UPPER($E$2:$E115),CHAR(160),""))=TRIM(SUBSTITUTE(UPPER(E115),CHAR(160),"")))
     )
  ),
  0
)</f>
        <v>0</v>
      </c>
      <c r="K115" s="9">
        <f>IFERROR(
  IF(
    D115&lt;&gt;"Cédric",
    0,
    IF(
      C115="",
      IF(
        COUNTIFS($B$2:B115,B115,$E$2:E115,E115,$D$2:D115,D115)=1,
        INDEX([1]DB!$A:$A,MATCH($E115,[1]DB!$D:$D,0)),
        IF(
          COUNTIFS($B$2:B115,B115,$E$2:E115,E115,$D$2:D115,D115)=2,
          INDEX([1]DB!$B:$B,MATCH($E115,[1]DB!$D:$D,0)),
          INDEX([1]DB!$C:$C,MATCH($E115,[1]DB!$D:$D,0))
        )
      ),
      IF(
        COUNTIFS($C$2:C115,C115,$E$2:E115,E115,$D$2:D115,D115)=1,
        INDEX([1]DB!$A:$A,MATCH($E115,[1]DB!$D:$D,0)),
        IF(
          COUNTIFS($C$2:C115,C115,$E$2:E115,E115,$D$2:D115,D115)=2,
          INDEX([1]DB!$B:$B,MATCH($E115,[1]DB!$D:$D,0)),
          INDEX([1]DB!$C:$C,MATCH($E115,[1]DB!$D:$D,0))
        )
      )
    )
  ),
  0
)</f>
        <v>0</v>
      </c>
      <c r="L115" s="9">
        <f>IFERROR(
  IF(
    D115&lt;&gt;"Geoffroy",
    0,
    IF(
      C115="",
      IF(
        COUNTIFS($B$2:B115,B115,$E$2:E115,E115,$D$2:D115,D115)=1,
        INDEX([1]DB!$A:$A,MATCH($E115,[1]DB!$D:$D,0)),
        IF(
          COUNTIFS($B$2:B115,B115,$E$2:E115,E115,$D$2:D115,D115)=2,
          INDEX([1]DB!$B:$B,MATCH($E115,[1]DB!$D:$D,0)),
          INDEX([1]DB!$C:$C,MATCH($E115,[1]DB!$D:$D,0))
        )
      ),
      IF(
        COUNTIFS($C$2:C115,C115,$E$2:E115,E115,$D$2:D115,D115)=1,
        INDEX([1]DB!$A:$A,MATCH($E115,[1]DB!$D:$D,0)),
        IF(
          COUNTIFS($C$2:C115,C115,$E$2:E115,E115,$D$2:D115,D115)=2,
          INDEX([1]DB!$B:$B,MATCH($E115,[1]DB!$D:$D,0)),
          INDEX([1]DB!$C:$C,MATCH($E115,[1]DB!$D:$D,0))
        )
      )
    )
  ),
  0
)</f>
        <v>0</v>
      </c>
      <c r="M115" s="9">
        <f>IFERROR(
  IF(
    D115&lt;&gt;"Tiphaine",
    0,
    IF(
      C115="",
      IF(
        COUNTIFS($B$2:B115,B115,$E$2:E115,E115,$D$2:D115,D115)=1,
        INDEX([1]DB!$A:$A,MATCH($E115,[1]DB!$D:$D,0)),
        IF(
          COUNTIFS($B$2:B115,B115,$E$2:E115,E115,$D$2:D115,D115)=2,
          INDEX([1]DB!$B:$B,MATCH($E115,[1]DB!$D:$D,0)),
          INDEX([1]DB!$C:$C,MATCH($E115,[1]DB!$D:$D,0))
        )
      ),
      IF(
        COUNTIFS($C$2:C115,C115,$E$2:E115,E115,$D$2:D115,D115)=1,
        INDEX([1]DB!$A:$A,MATCH($E115,[1]DB!$D:$D,0)),
        IF(
          COUNTIFS($C$2:C115,C115,$E$2:E115,E115,$D$2:D115,D115)=2,
          INDEX([1]DB!$B:$B,MATCH($E115,[1]DB!$D:$D,0)),
          INDEX([1]DB!$C:$C,MATCH($E115,[1]DB!$D:$D,0))
        )
      )
    )
  ),
  0
)</f>
        <v>0</v>
      </c>
      <c r="N115" s="9">
        <f>IFERROR(
  IF(
    D115&lt;&gt;"Catherine",
    0,
    IF(
      C115="",
      IF(
        COUNTIFS($B$2:B115,B115,$E$2:E115,E115,$D$2:D115,D115)=1,
        INDEX([1]DB!$A:$A,MATCH($E115,[1]DB!$D:$D,0)),
        IF(
          COUNTIFS($B$2:B115,B115,$E$2:E115,E115,$D$2:D115,D115)=2,
          INDEX([1]DB!$B:$B,MATCH($E115,[1]DB!$D:$D,0)),
          INDEX([1]DB!$C:$C,MATCH($E115,[1]DB!$D:$D,0))
        )
      ),
      IF(
        COUNTIFS($C$2:C115,C115,$E$2:E115,E115,$D$2:D115,D115)=1,
        INDEX([1]DB!$A:$A,MATCH($E115,[1]DB!$D:$D,0)),
        IF(
          COUNTIFS($C$2:C115,C115,$E$2:E115,E115,$D$2:D115,D115)=2,
          INDEX([1]DB!$B:$B,MATCH($E115,[1]DB!$D:$D,0)),
          INDEX([1]DB!$C:$C,MATCH($E115,[1]DB!$D:$D,0))
        )
      )
    )
  ),
  0
)</f>
        <v>0</v>
      </c>
      <c r="O115" s="5" t="str">
        <f>IF(DAY(A115)&lt;=15,UPPER(LEFT(TEXT(A115,"mmmm"),1))&amp;RIGHT(TEXT(A115,"mmmm"),LEN(TEXT(A115,"mmmm"))-1),UPPER(LEFT(TEXT(DATE(YEAR(A115),MONTH(A115)+1,1),"mmmm"),1))&amp;RIGHT(TEXT(DATE(YEAR(A115),MONTH(A115)+1,1),"mmmm"),LEN(TEXT(DATE(YEAR(A115),MONTH(A115)+1,1),"mmmm"))-1))</f>
        <v>Janvier</v>
      </c>
      <c r="P115" s="6" t="str">
        <f ca="1">IF(AND(A115&lt;=TODAY(),F115&lt;&gt;""),"OK","NON")</f>
        <v>NON</v>
      </c>
    </row>
    <row r="116" spans="1:16">
      <c r="A116" s="4"/>
      <c r="B116" s="5"/>
      <c r="C116" s="5"/>
      <c r="D116" s="6"/>
      <c r="E116" s="6"/>
      <c r="F116" s="7"/>
      <c r="G116" s="8" cm="1">
        <f t="array" ref="G116">IFERROR(
  IF(D116&lt;&gt;"Cédric",
     0,
     SUMPRODUCT(
       (TRIM(SUBSTITUTE(UPPER($B$2:$B116),CHAR(160),""))=TRIM(SUBSTITUTE(UPPER(B116),CHAR(160),"")))*
       (TRIM(SUBSTITUTE(UPPER($C$2:$C116),CHAR(160),""))=TRIM(SUBSTITUTE(UPPER(C116),CHAR(160),"")))*
       (TRIM(SUBSTITUTE(UPPER($D$2:$D116),CHAR(160),""))=TRIM(SUBSTITUTE(UPPER(D116),CHAR(160),"")))*
       (TRIM(SUBSTITUTE(UPPER($E$2:$E116),CHAR(160),""))=TRIM(SUBSTITUTE(UPPER(E116),CHAR(160),"")))
     )
  ),
  0
)</f>
        <v>0</v>
      </c>
      <c r="H116" s="8" cm="1">
        <f t="array" ref="H116">IFERROR(
  IF(D116&lt;&gt;"Geoffroy",
     0,
     SUMPRODUCT(
       (TRIM(SUBSTITUTE(UPPER($B$2:$B116),CHAR(160),""))=TRIM(SUBSTITUTE(UPPER(B116),CHAR(160),"")))*
       (TRIM(SUBSTITUTE(UPPER($C$2:$C116),CHAR(160),""))=TRIM(SUBSTITUTE(UPPER(C116),CHAR(160),"")))*
       (TRIM(SUBSTITUTE(UPPER($D$2:$D116),CHAR(160),""))=TRIM(SUBSTITUTE(UPPER(D116),CHAR(160),"")))*
       (TRIM(SUBSTITUTE(UPPER($E$2:$E116),CHAR(160),""))=TRIM(SUBSTITUTE(UPPER(E116),CHAR(160),"")))
     )
  ),
  0
)</f>
        <v>0</v>
      </c>
      <c r="I116" s="8" cm="1">
        <f t="array" ref="I116">IFERROR(
  IF(D116&lt;&gt;"Tiphaine",
     0,
     SUMPRODUCT(
       (TRIM(SUBSTITUTE(UPPER($B$2:$B116),CHAR(160),""))=TRIM(SUBSTITUTE(UPPER(B116),CHAR(160),"")))*
       (TRIM(SUBSTITUTE(UPPER($C$2:$C116),CHAR(160),""))=TRIM(SUBSTITUTE(UPPER(C116),CHAR(160),"")))*
       (TRIM(SUBSTITUTE(UPPER($D$2:$D116),CHAR(160),""))=TRIM(SUBSTITUTE(UPPER(D116),CHAR(160),"")))*
       (TRIM(SUBSTITUTE(UPPER($E$2:$E116),CHAR(160),""))=TRIM(SUBSTITUTE(UPPER(E116),CHAR(160),"")))
     )
  ),
  0
)</f>
        <v>0</v>
      </c>
      <c r="J116" s="8" cm="1">
        <f t="array" ref="J116">IFERROR(
  IF(D116&lt;&gt;"Catherine",
     0,
     SUMPRODUCT(
       (TRIM(SUBSTITUTE(UPPER($B$2:$B116),CHAR(160),""))=TRIM(SUBSTITUTE(UPPER(B116),CHAR(160),"")))*
       (TRIM(SUBSTITUTE(UPPER($C$2:$C116),CHAR(160),""))=TRIM(SUBSTITUTE(UPPER(C116),CHAR(160),"")))*
       (TRIM(SUBSTITUTE(UPPER($D$2:$D116),CHAR(160),""))=TRIM(SUBSTITUTE(UPPER(D116),CHAR(160),"")))*
       (TRIM(SUBSTITUTE(UPPER($E$2:$E116),CHAR(160),""))=TRIM(SUBSTITUTE(UPPER(E116),CHAR(160),"")))
     )
  ),
  0
)</f>
        <v>0</v>
      </c>
      <c r="K116" s="9">
        <f>IFERROR(
  IF(
    D116&lt;&gt;"Cédric",
    0,
    IF(
      C116="",
      IF(
        COUNTIFS($B$2:B116,B116,$E$2:E116,E116,$D$2:D116,D116)=1,
        INDEX([1]DB!$A:$A,MATCH($E116,[1]DB!$D:$D,0)),
        IF(
          COUNTIFS($B$2:B116,B116,$E$2:E116,E116,$D$2:D116,D116)=2,
          INDEX([1]DB!$B:$B,MATCH($E116,[1]DB!$D:$D,0)),
          INDEX([1]DB!$C:$C,MATCH($E116,[1]DB!$D:$D,0))
        )
      ),
      IF(
        COUNTIFS($C$2:C116,C116,$E$2:E116,E116,$D$2:D116,D116)=1,
        INDEX([1]DB!$A:$A,MATCH($E116,[1]DB!$D:$D,0)),
        IF(
          COUNTIFS($C$2:C116,C116,$E$2:E116,E116,$D$2:D116,D116)=2,
          INDEX([1]DB!$B:$B,MATCH($E116,[1]DB!$D:$D,0)),
          INDEX([1]DB!$C:$C,MATCH($E116,[1]DB!$D:$D,0))
        )
      )
    )
  ),
  0
)</f>
        <v>0</v>
      </c>
      <c r="L116" s="9">
        <f>IFERROR(
  IF(
    D116&lt;&gt;"Geoffroy",
    0,
    IF(
      C116="",
      IF(
        COUNTIFS($B$2:B116,B116,$E$2:E116,E116,$D$2:D116,D116)=1,
        INDEX([1]DB!$A:$A,MATCH($E116,[1]DB!$D:$D,0)),
        IF(
          COUNTIFS($B$2:B116,B116,$E$2:E116,E116,$D$2:D116,D116)=2,
          INDEX([1]DB!$B:$B,MATCH($E116,[1]DB!$D:$D,0)),
          INDEX([1]DB!$C:$C,MATCH($E116,[1]DB!$D:$D,0))
        )
      ),
      IF(
        COUNTIFS($C$2:C116,C116,$E$2:E116,E116,$D$2:D116,D116)=1,
        INDEX([1]DB!$A:$A,MATCH($E116,[1]DB!$D:$D,0)),
        IF(
          COUNTIFS($C$2:C116,C116,$E$2:E116,E116,$D$2:D116,D116)=2,
          INDEX([1]DB!$B:$B,MATCH($E116,[1]DB!$D:$D,0)),
          INDEX([1]DB!$C:$C,MATCH($E116,[1]DB!$D:$D,0))
        )
      )
    )
  ),
  0
)</f>
        <v>0</v>
      </c>
      <c r="M116" s="9">
        <f>IFERROR(
  IF(
    D116&lt;&gt;"Tiphaine",
    0,
    IF(
      C116="",
      IF(
        COUNTIFS($B$2:B116,B116,$E$2:E116,E116,$D$2:D116,D116)=1,
        INDEX([1]DB!$A:$A,MATCH($E116,[1]DB!$D:$D,0)),
        IF(
          COUNTIFS($B$2:B116,B116,$E$2:E116,E116,$D$2:D116,D116)=2,
          INDEX([1]DB!$B:$B,MATCH($E116,[1]DB!$D:$D,0)),
          INDEX([1]DB!$C:$C,MATCH($E116,[1]DB!$D:$D,0))
        )
      ),
      IF(
        COUNTIFS($C$2:C116,C116,$E$2:E116,E116,$D$2:D116,D116)=1,
        INDEX([1]DB!$A:$A,MATCH($E116,[1]DB!$D:$D,0)),
        IF(
          COUNTIFS($C$2:C116,C116,$E$2:E116,E116,$D$2:D116,D116)=2,
          INDEX([1]DB!$B:$B,MATCH($E116,[1]DB!$D:$D,0)),
          INDEX([1]DB!$C:$C,MATCH($E116,[1]DB!$D:$D,0))
        )
      )
    )
  ),
  0
)</f>
        <v>0</v>
      </c>
      <c r="N116" s="9">
        <f>IFERROR(
  IF(
    D116&lt;&gt;"Catherine",
    0,
    IF(
      C116="",
      IF(
        COUNTIFS($B$2:B116,B116,$E$2:E116,E116,$D$2:D116,D116)=1,
        INDEX([1]DB!$A:$A,MATCH($E116,[1]DB!$D:$D,0)),
        IF(
          COUNTIFS($B$2:B116,B116,$E$2:E116,E116,$D$2:D116,D116)=2,
          INDEX([1]DB!$B:$B,MATCH($E116,[1]DB!$D:$D,0)),
          INDEX([1]DB!$C:$C,MATCH($E116,[1]DB!$D:$D,0))
        )
      ),
      IF(
        COUNTIFS($C$2:C116,C116,$E$2:E116,E116,$D$2:D116,D116)=1,
        INDEX([1]DB!$A:$A,MATCH($E116,[1]DB!$D:$D,0)),
        IF(
          COUNTIFS($C$2:C116,C116,$E$2:E116,E116,$D$2:D116,D116)=2,
          INDEX([1]DB!$B:$B,MATCH($E116,[1]DB!$D:$D,0)),
          INDEX([1]DB!$C:$C,MATCH($E116,[1]DB!$D:$D,0))
        )
      )
    )
  ),
  0
)</f>
        <v>0</v>
      </c>
      <c r="O116" s="5" t="str">
        <f>IF(DAY(A116)&lt;=15,UPPER(LEFT(TEXT(A116,"mmmm"),1))&amp;RIGHT(TEXT(A116,"mmmm"),LEN(TEXT(A116,"mmmm"))-1),UPPER(LEFT(TEXT(DATE(YEAR(A116),MONTH(A116)+1,1),"mmmm"),1))&amp;RIGHT(TEXT(DATE(YEAR(A116),MONTH(A116)+1,1),"mmmm"),LEN(TEXT(DATE(YEAR(A116),MONTH(A116)+1,1),"mmmm"))-1))</f>
        <v>Janvier</v>
      </c>
      <c r="P116" s="6" t="str">
        <f ca="1">IF(AND(A116&lt;=TODAY(),F116&lt;&gt;""),"OK","NON")</f>
        <v>NON</v>
      </c>
    </row>
    <row r="117" spans="1:16">
      <c r="A117" s="4"/>
      <c r="B117" s="5"/>
      <c r="C117" s="5"/>
      <c r="D117" s="6"/>
      <c r="E117" s="6"/>
      <c r="F117" s="7"/>
      <c r="G117" s="8" cm="1">
        <f t="array" ref="G117">IFERROR(
  IF(D117&lt;&gt;"Cédric",
     0,
     SUMPRODUCT(
       (TRIM(SUBSTITUTE(UPPER($B$2:$B117),CHAR(160),""))=TRIM(SUBSTITUTE(UPPER(B117),CHAR(160),"")))*
       (TRIM(SUBSTITUTE(UPPER($C$2:$C117),CHAR(160),""))=TRIM(SUBSTITUTE(UPPER(C117),CHAR(160),"")))*
       (TRIM(SUBSTITUTE(UPPER($D$2:$D117),CHAR(160),""))=TRIM(SUBSTITUTE(UPPER(D117),CHAR(160),"")))*
       (TRIM(SUBSTITUTE(UPPER($E$2:$E117),CHAR(160),""))=TRIM(SUBSTITUTE(UPPER(E117),CHAR(160),"")))
     )
  ),
  0
)</f>
        <v>0</v>
      </c>
      <c r="H117" s="8" cm="1">
        <f t="array" ref="H117">IFERROR(
  IF(D117&lt;&gt;"Geoffroy",
     0,
     SUMPRODUCT(
       (TRIM(SUBSTITUTE(UPPER($B$2:$B117),CHAR(160),""))=TRIM(SUBSTITUTE(UPPER(B117),CHAR(160),"")))*
       (TRIM(SUBSTITUTE(UPPER($C$2:$C117),CHAR(160),""))=TRIM(SUBSTITUTE(UPPER(C117),CHAR(160),"")))*
       (TRIM(SUBSTITUTE(UPPER($D$2:$D117),CHAR(160),""))=TRIM(SUBSTITUTE(UPPER(D117),CHAR(160),"")))*
       (TRIM(SUBSTITUTE(UPPER($E$2:$E117),CHAR(160),""))=TRIM(SUBSTITUTE(UPPER(E117),CHAR(160),"")))
     )
  ),
  0
)</f>
        <v>0</v>
      </c>
      <c r="I117" s="8" cm="1">
        <f t="array" ref="I117">IFERROR(
  IF(D117&lt;&gt;"Tiphaine",
     0,
     SUMPRODUCT(
       (TRIM(SUBSTITUTE(UPPER($B$2:$B117),CHAR(160),""))=TRIM(SUBSTITUTE(UPPER(B117),CHAR(160),"")))*
       (TRIM(SUBSTITUTE(UPPER($C$2:$C117),CHAR(160),""))=TRIM(SUBSTITUTE(UPPER(C117),CHAR(160),"")))*
       (TRIM(SUBSTITUTE(UPPER($D$2:$D117),CHAR(160),""))=TRIM(SUBSTITUTE(UPPER(D117),CHAR(160),"")))*
       (TRIM(SUBSTITUTE(UPPER($E$2:$E117),CHAR(160),""))=TRIM(SUBSTITUTE(UPPER(E117),CHAR(160),"")))
     )
  ),
  0
)</f>
        <v>0</v>
      </c>
      <c r="J117" s="8" cm="1">
        <f t="array" ref="J117">IFERROR(
  IF(D117&lt;&gt;"Catherine",
     0,
     SUMPRODUCT(
       (TRIM(SUBSTITUTE(UPPER($B$2:$B117),CHAR(160),""))=TRIM(SUBSTITUTE(UPPER(B117),CHAR(160),"")))*
       (TRIM(SUBSTITUTE(UPPER($C$2:$C117),CHAR(160),""))=TRIM(SUBSTITUTE(UPPER(C117),CHAR(160),"")))*
       (TRIM(SUBSTITUTE(UPPER($D$2:$D117),CHAR(160),""))=TRIM(SUBSTITUTE(UPPER(D117),CHAR(160),"")))*
       (TRIM(SUBSTITUTE(UPPER($E$2:$E117),CHAR(160),""))=TRIM(SUBSTITUTE(UPPER(E117),CHAR(160),"")))
     )
  ),
  0
)</f>
        <v>0</v>
      </c>
      <c r="K117" s="9">
        <f>IFERROR(
  IF(
    D117&lt;&gt;"Cédric",
    0,
    IF(
      C117="",
      IF(
        COUNTIFS($B$2:B117,B117,$E$2:E117,E117,$D$2:D117,D117)=1,
        INDEX([1]DB!$A:$A,MATCH($E117,[1]DB!$D:$D,0)),
        IF(
          COUNTIFS($B$2:B117,B117,$E$2:E117,E117,$D$2:D117,D117)=2,
          INDEX([1]DB!$B:$B,MATCH($E117,[1]DB!$D:$D,0)),
          INDEX([1]DB!$C:$C,MATCH($E117,[1]DB!$D:$D,0))
        )
      ),
      IF(
        COUNTIFS($C$2:C117,C117,$E$2:E117,E117,$D$2:D117,D117)=1,
        INDEX([1]DB!$A:$A,MATCH($E117,[1]DB!$D:$D,0)),
        IF(
          COUNTIFS($C$2:C117,C117,$E$2:E117,E117,$D$2:D117,D117)=2,
          INDEX([1]DB!$B:$B,MATCH($E117,[1]DB!$D:$D,0)),
          INDEX([1]DB!$C:$C,MATCH($E117,[1]DB!$D:$D,0))
        )
      )
    )
  ),
  0
)</f>
        <v>0</v>
      </c>
      <c r="L117" s="9">
        <f>IFERROR(
  IF(
    D117&lt;&gt;"Geoffroy",
    0,
    IF(
      C117="",
      IF(
        COUNTIFS($B$2:B117,B117,$E$2:E117,E117,$D$2:D117,D117)=1,
        INDEX([1]DB!$A:$A,MATCH($E117,[1]DB!$D:$D,0)),
        IF(
          COUNTIFS($B$2:B117,B117,$E$2:E117,E117,$D$2:D117,D117)=2,
          INDEX([1]DB!$B:$B,MATCH($E117,[1]DB!$D:$D,0)),
          INDEX([1]DB!$C:$C,MATCH($E117,[1]DB!$D:$D,0))
        )
      ),
      IF(
        COUNTIFS($C$2:C117,C117,$E$2:E117,E117,$D$2:D117,D117)=1,
        INDEX([1]DB!$A:$A,MATCH($E117,[1]DB!$D:$D,0)),
        IF(
          COUNTIFS($C$2:C117,C117,$E$2:E117,E117,$D$2:D117,D117)=2,
          INDEX([1]DB!$B:$B,MATCH($E117,[1]DB!$D:$D,0)),
          INDEX([1]DB!$C:$C,MATCH($E117,[1]DB!$D:$D,0))
        )
      )
    )
  ),
  0
)</f>
        <v>0</v>
      </c>
      <c r="M117" s="9">
        <f>IFERROR(
  IF(
    D117&lt;&gt;"Tiphaine",
    0,
    IF(
      C117="",
      IF(
        COUNTIFS($B$2:B117,B117,$E$2:E117,E117,$D$2:D117,D117)=1,
        INDEX([1]DB!$A:$A,MATCH($E117,[1]DB!$D:$D,0)),
        IF(
          COUNTIFS($B$2:B117,B117,$E$2:E117,E117,$D$2:D117,D117)=2,
          INDEX([1]DB!$B:$B,MATCH($E117,[1]DB!$D:$D,0)),
          INDEX([1]DB!$C:$C,MATCH($E117,[1]DB!$D:$D,0))
        )
      ),
      IF(
        COUNTIFS($C$2:C117,C117,$E$2:E117,E117,$D$2:D117,D117)=1,
        INDEX([1]DB!$A:$A,MATCH($E117,[1]DB!$D:$D,0)),
        IF(
          COUNTIFS($C$2:C117,C117,$E$2:E117,E117,$D$2:D117,D117)=2,
          INDEX([1]DB!$B:$B,MATCH($E117,[1]DB!$D:$D,0)),
          INDEX([1]DB!$C:$C,MATCH($E117,[1]DB!$D:$D,0))
        )
      )
    )
  ),
  0
)</f>
        <v>0</v>
      </c>
      <c r="N117" s="9">
        <f>IFERROR(
  IF(
    D117&lt;&gt;"Catherine",
    0,
    IF(
      C117="",
      IF(
        COUNTIFS($B$2:B117,B117,$E$2:E117,E117,$D$2:D117,D117)=1,
        INDEX([1]DB!$A:$A,MATCH($E117,[1]DB!$D:$D,0)),
        IF(
          COUNTIFS($B$2:B117,B117,$E$2:E117,E117,$D$2:D117,D117)=2,
          INDEX([1]DB!$B:$B,MATCH($E117,[1]DB!$D:$D,0)),
          INDEX([1]DB!$C:$C,MATCH($E117,[1]DB!$D:$D,0))
        )
      ),
      IF(
        COUNTIFS($C$2:C117,C117,$E$2:E117,E117,$D$2:D117,D117)=1,
        INDEX([1]DB!$A:$A,MATCH($E117,[1]DB!$D:$D,0)),
        IF(
          COUNTIFS($C$2:C117,C117,$E$2:E117,E117,$D$2:D117,D117)=2,
          INDEX([1]DB!$B:$B,MATCH($E117,[1]DB!$D:$D,0)),
          INDEX([1]DB!$C:$C,MATCH($E117,[1]DB!$D:$D,0))
        )
      )
    )
  ),
  0
)</f>
        <v>0</v>
      </c>
      <c r="O117" s="5" t="str">
        <f>IF(DAY(A117)&lt;=15,UPPER(LEFT(TEXT(A117,"mmmm"),1))&amp;RIGHT(TEXT(A117,"mmmm"),LEN(TEXT(A117,"mmmm"))-1),UPPER(LEFT(TEXT(DATE(YEAR(A117),MONTH(A117)+1,1),"mmmm"),1))&amp;RIGHT(TEXT(DATE(YEAR(A117),MONTH(A117)+1,1),"mmmm"),LEN(TEXT(DATE(YEAR(A117),MONTH(A117)+1,1),"mmmm"))-1))</f>
        <v>Janvier</v>
      </c>
      <c r="P117" s="6" t="str">
        <f ca="1">IF(AND(A117&lt;=TODAY(),F117&lt;&gt;""),"OK","NON")</f>
        <v>NON</v>
      </c>
    </row>
    <row r="118" spans="1:16">
      <c r="A118" s="4"/>
      <c r="B118" s="5"/>
      <c r="C118" s="5"/>
      <c r="D118" s="6"/>
      <c r="E118" s="6"/>
      <c r="F118" s="7"/>
      <c r="G118" s="8" cm="1">
        <f t="array" ref="G118">IFERROR(
  IF(D118&lt;&gt;"Cédric",
     0,
     SUMPRODUCT(
       (TRIM(SUBSTITUTE(UPPER($B$2:$B118),CHAR(160),""))=TRIM(SUBSTITUTE(UPPER(B118),CHAR(160),"")))*
       (TRIM(SUBSTITUTE(UPPER($C$2:$C118),CHAR(160),""))=TRIM(SUBSTITUTE(UPPER(C118),CHAR(160),"")))*
       (TRIM(SUBSTITUTE(UPPER($D$2:$D118),CHAR(160),""))=TRIM(SUBSTITUTE(UPPER(D118),CHAR(160),"")))*
       (TRIM(SUBSTITUTE(UPPER($E$2:$E118),CHAR(160),""))=TRIM(SUBSTITUTE(UPPER(E118),CHAR(160),"")))
     )
  ),
  0
)</f>
        <v>0</v>
      </c>
      <c r="H118" s="8" cm="1">
        <f t="array" ref="H118">IFERROR(
  IF(D118&lt;&gt;"Geoffroy",
     0,
     SUMPRODUCT(
       (TRIM(SUBSTITUTE(UPPER($B$2:$B118),CHAR(160),""))=TRIM(SUBSTITUTE(UPPER(B118),CHAR(160),"")))*
       (TRIM(SUBSTITUTE(UPPER($C$2:$C118),CHAR(160),""))=TRIM(SUBSTITUTE(UPPER(C118),CHAR(160),"")))*
       (TRIM(SUBSTITUTE(UPPER($D$2:$D118),CHAR(160),""))=TRIM(SUBSTITUTE(UPPER(D118),CHAR(160),"")))*
       (TRIM(SUBSTITUTE(UPPER($E$2:$E118),CHAR(160),""))=TRIM(SUBSTITUTE(UPPER(E118),CHAR(160),"")))
     )
  ),
  0
)</f>
        <v>0</v>
      </c>
      <c r="I118" s="8" cm="1">
        <f t="array" ref="I118">IFERROR(
  IF(D118&lt;&gt;"Tiphaine",
     0,
     SUMPRODUCT(
       (TRIM(SUBSTITUTE(UPPER($B$2:$B118),CHAR(160),""))=TRIM(SUBSTITUTE(UPPER(B118),CHAR(160),"")))*
       (TRIM(SUBSTITUTE(UPPER($C$2:$C118),CHAR(160),""))=TRIM(SUBSTITUTE(UPPER(C118),CHAR(160),"")))*
       (TRIM(SUBSTITUTE(UPPER($D$2:$D118),CHAR(160),""))=TRIM(SUBSTITUTE(UPPER(D118),CHAR(160),"")))*
       (TRIM(SUBSTITUTE(UPPER($E$2:$E118),CHAR(160),""))=TRIM(SUBSTITUTE(UPPER(E118),CHAR(160),"")))
     )
  ),
  0
)</f>
        <v>0</v>
      </c>
      <c r="J118" s="8" cm="1">
        <f t="array" ref="J118">IFERROR(
  IF(D118&lt;&gt;"Catherine",
     0,
     SUMPRODUCT(
       (TRIM(SUBSTITUTE(UPPER($B$2:$B118),CHAR(160),""))=TRIM(SUBSTITUTE(UPPER(B118),CHAR(160),"")))*
       (TRIM(SUBSTITUTE(UPPER($C$2:$C118),CHAR(160),""))=TRIM(SUBSTITUTE(UPPER(C118),CHAR(160),"")))*
       (TRIM(SUBSTITUTE(UPPER($D$2:$D118),CHAR(160),""))=TRIM(SUBSTITUTE(UPPER(D118),CHAR(160),"")))*
       (TRIM(SUBSTITUTE(UPPER($E$2:$E118),CHAR(160),""))=TRIM(SUBSTITUTE(UPPER(E118),CHAR(160),"")))
     )
  ),
  0
)</f>
        <v>0</v>
      </c>
      <c r="K118" s="9">
        <f>IFERROR(
  IF(
    D118&lt;&gt;"Cédric",
    0,
    IF(
      C118="",
      IF(
        COUNTIFS($B$2:B118,B118,$E$2:E118,E118,$D$2:D118,D118)=1,
        INDEX([1]DB!$A:$A,MATCH($E118,[1]DB!$D:$D,0)),
        IF(
          COUNTIFS($B$2:B118,B118,$E$2:E118,E118,$D$2:D118,D118)=2,
          INDEX([1]DB!$B:$B,MATCH($E118,[1]DB!$D:$D,0)),
          INDEX([1]DB!$C:$C,MATCH($E118,[1]DB!$D:$D,0))
        )
      ),
      IF(
        COUNTIFS($C$2:C118,C118,$E$2:E118,E118,$D$2:D118,D118)=1,
        INDEX([1]DB!$A:$A,MATCH($E118,[1]DB!$D:$D,0)),
        IF(
          COUNTIFS($C$2:C118,C118,$E$2:E118,E118,$D$2:D118,D118)=2,
          INDEX([1]DB!$B:$B,MATCH($E118,[1]DB!$D:$D,0)),
          INDEX([1]DB!$C:$C,MATCH($E118,[1]DB!$D:$D,0))
        )
      )
    )
  ),
  0
)</f>
        <v>0</v>
      </c>
      <c r="L118" s="9">
        <f>IFERROR(
  IF(
    D118&lt;&gt;"Geoffroy",
    0,
    IF(
      C118="",
      IF(
        COUNTIFS($B$2:B118,B118,$E$2:E118,E118,$D$2:D118,D118)=1,
        INDEX([1]DB!$A:$A,MATCH($E118,[1]DB!$D:$D,0)),
        IF(
          COUNTIFS($B$2:B118,B118,$E$2:E118,E118,$D$2:D118,D118)=2,
          INDEX([1]DB!$B:$B,MATCH($E118,[1]DB!$D:$D,0)),
          INDEX([1]DB!$C:$C,MATCH($E118,[1]DB!$D:$D,0))
        )
      ),
      IF(
        COUNTIFS($C$2:C118,C118,$E$2:E118,E118,$D$2:D118,D118)=1,
        INDEX([1]DB!$A:$A,MATCH($E118,[1]DB!$D:$D,0)),
        IF(
          COUNTIFS($C$2:C118,C118,$E$2:E118,E118,$D$2:D118,D118)=2,
          INDEX([1]DB!$B:$B,MATCH($E118,[1]DB!$D:$D,0)),
          INDEX([1]DB!$C:$C,MATCH($E118,[1]DB!$D:$D,0))
        )
      )
    )
  ),
  0
)</f>
        <v>0</v>
      </c>
      <c r="M118" s="9">
        <f>IFERROR(
  IF(
    D118&lt;&gt;"Tiphaine",
    0,
    IF(
      C118="",
      IF(
        COUNTIFS($B$2:B118,B118,$E$2:E118,E118,$D$2:D118,D118)=1,
        INDEX([1]DB!$A:$A,MATCH($E118,[1]DB!$D:$D,0)),
        IF(
          COUNTIFS($B$2:B118,B118,$E$2:E118,E118,$D$2:D118,D118)=2,
          INDEX([1]DB!$B:$B,MATCH($E118,[1]DB!$D:$D,0)),
          INDEX([1]DB!$C:$C,MATCH($E118,[1]DB!$D:$D,0))
        )
      ),
      IF(
        COUNTIFS($C$2:C118,C118,$E$2:E118,E118,$D$2:D118,D118)=1,
        INDEX([1]DB!$A:$A,MATCH($E118,[1]DB!$D:$D,0)),
        IF(
          COUNTIFS($C$2:C118,C118,$E$2:E118,E118,$D$2:D118,D118)=2,
          INDEX([1]DB!$B:$B,MATCH($E118,[1]DB!$D:$D,0)),
          INDEX([1]DB!$C:$C,MATCH($E118,[1]DB!$D:$D,0))
        )
      )
    )
  ),
  0
)</f>
        <v>0</v>
      </c>
      <c r="N118" s="9">
        <f>IFERROR(
  IF(
    D118&lt;&gt;"Catherine",
    0,
    IF(
      C118="",
      IF(
        COUNTIFS($B$2:B118,B118,$E$2:E118,E118,$D$2:D118,D118)=1,
        INDEX([1]DB!$A:$A,MATCH($E118,[1]DB!$D:$D,0)),
        IF(
          COUNTIFS($B$2:B118,B118,$E$2:E118,E118,$D$2:D118,D118)=2,
          INDEX([1]DB!$B:$B,MATCH($E118,[1]DB!$D:$D,0)),
          INDEX([1]DB!$C:$C,MATCH($E118,[1]DB!$D:$D,0))
        )
      ),
      IF(
        COUNTIFS($C$2:C118,C118,$E$2:E118,E118,$D$2:D118,D118)=1,
        INDEX([1]DB!$A:$A,MATCH($E118,[1]DB!$D:$D,0)),
        IF(
          COUNTIFS($C$2:C118,C118,$E$2:E118,E118,$D$2:D118,D118)=2,
          INDEX([1]DB!$B:$B,MATCH($E118,[1]DB!$D:$D,0)),
          INDEX([1]DB!$C:$C,MATCH($E118,[1]DB!$D:$D,0))
        )
      )
    )
  ),
  0
)</f>
        <v>0</v>
      </c>
      <c r="O118" s="5" t="str">
        <f>IF(DAY(A118)&lt;=15,UPPER(LEFT(TEXT(A118,"mmmm"),1))&amp;RIGHT(TEXT(A118,"mmmm"),LEN(TEXT(A118,"mmmm"))-1),UPPER(LEFT(TEXT(DATE(YEAR(A118),MONTH(A118)+1,1),"mmmm"),1))&amp;RIGHT(TEXT(DATE(YEAR(A118),MONTH(A118)+1,1),"mmmm"),LEN(TEXT(DATE(YEAR(A118),MONTH(A118)+1,1),"mmmm"))-1))</f>
        <v>Janvier</v>
      </c>
      <c r="P118" s="6" t="str">
        <f ca="1">IF(AND(A118&lt;=TODAY(),F118&lt;&gt;""),"OK","NON")</f>
        <v>NON</v>
      </c>
    </row>
    <row r="119" spans="1:16">
      <c r="A119" s="4"/>
      <c r="B119" s="5"/>
      <c r="C119" s="5"/>
      <c r="D119" s="6"/>
      <c r="E119" s="6"/>
      <c r="F119" s="7"/>
      <c r="G119" s="8" cm="1">
        <f t="array" ref="G119">IFERROR(
  IF(D119&lt;&gt;"Cédric",
     0,
     SUMPRODUCT(
       (TRIM(SUBSTITUTE(UPPER($B$2:$B119),CHAR(160),""))=TRIM(SUBSTITUTE(UPPER(B119),CHAR(160),"")))*
       (TRIM(SUBSTITUTE(UPPER($C$2:$C119),CHAR(160),""))=TRIM(SUBSTITUTE(UPPER(C119),CHAR(160),"")))*
       (TRIM(SUBSTITUTE(UPPER($D$2:$D119),CHAR(160),""))=TRIM(SUBSTITUTE(UPPER(D119),CHAR(160),"")))*
       (TRIM(SUBSTITUTE(UPPER($E$2:$E119),CHAR(160),""))=TRIM(SUBSTITUTE(UPPER(E119),CHAR(160),"")))
     )
  ),
  0
)</f>
        <v>0</v>
      </c>
      <c r="H119" s="8" cm="1">
        <f t="array" ref="H119">IFERROR(
  IF(D119&lt;&gt;"Geoffroy",
     0,
     SUMPRODUCT(
       (TRIM(SUBSTITUTE(UPPER($B$2:$B119),CHAR(160),""))=TRIM(SUBSTITUTE(UPPER(B119),CHAR(160),"")))*
       (TRIM(SUBSTITUTE(UPPER($C$2:$C119),CHAR(160),""))=TRIM(SUBSTITUTE(UPPER(C119),CHAR(160),"")))*
       (TRIM(SUBSTITUTE(UPPER($D$2:$D119),CHAR(160),""))=TRIM(SUBSTITUTE(UPPER(D119),CHAR(160),"")))*
       (TRIM(SUBSTITUTE(UPPER($E$2:$E119),CHAR(160),""))=TRIM(SUBSTITUTE(UPPER(E119),CHAR(160),"")))
     )
  ),
  0
)</f>
        <v>0</v>
      </c>
      <c r="I119" s="8" cm="1">
        <f t="array" ref="I119">IFERROR(
  IF(D119&lt;&gt;"Tiphaine",
     0,
     SUMPRODUCT(
       (TRIM(SUBSTITUTE(UPPER($B$2:$B119),CHAR(160),""))=TRIM(SUBSTITUTE(UPPER(B119),CHAR(160),"")))*
       (TRIM(SUBSTITUTE(UPPER($C$2:$C119),CHAR(160),""))=TRIM(SUBSTITUTE(UPPER(C119),CHAR(160),"")))*
       (TRIM(SUBSTITUTE(UPPER($D$2:$D119),CHAR(160),""))=TRIM(SUBSTITUTE(UPPER(D119),CHAR(160),"")))*
       (TRIM(SUBSTITUTE(UPPER($E$2:$E119),CHAR(160),""))=TRIM(SUBSTITUTE(UPPER(E119),CHAR(160),"")))
     )
  ),
  0
)</f>
        <v>0</v>
      </c>
      <c r="J119" s="8" cm="1">
        <f t="array" ref="J119">IFERROR(
  IF(D119&lt;&gt;"Catherine",
     0,
     SUMPRODUCT(
       (TRIM(SUBSTITUTE(UPPER($B$2:$B119),CHAR(160),""))=TRIM(SUBSTITUTE(UPPER(B119),CHAR(160),"")))*
       (TRIM(SUBSTITUTE(UPPER($C$2:$C119),CHAR(160),""))=TRIM(SUBSTITUTE(UPPER(C119),CHAR(160),"")))*
       (TRIM(SUBSTITUTE(UPPER($D$2:$D119),CHAR(160),""))=TRIM(SUBSTITUTE(UPPER(D119),CHAR(160),"")))*
       (TRIM(SUBSTITUTE(UPPER($E$2:$E119),CHAR(160),""))=TRIM(SUBSTITUTE(UPPER(E119),CHAR(160),"")))
     )
  ),
  0
)</f>
        <v>0</v>
      </c>
      <c r="K119" s="9">
        <f>IFERROR(
  IF(
    D119&lt;&gt;"Cédric",
    0,
    IF(
      C119="",
      IF(
        COUNTIFS($B$2:B119,B119,$E$2:E119,E119,$D$2:D119,D119)=1,
        INDEX([1]DB!$A:$A,MATCH($E119,[1]DB!$D:$D,0)),
        IF(
          COUNTIFS($B$2:B119,B119,$E$2:E119,E119,$D$2:D119,D119)=2,
          INDEX([1]DB!$B:$B,MATCH($E119,[1]DB!$D:$D,0)),
          INDEX([1]DB!$C:$C,MATCH($E119,[1]DB!$D:$D,0))
        )
      ),
      IF(
        COUNTIFS($C$2:C119,C119,$E$2:E119,E119,$D$2:D119,D119)=1,
        INDEX([1]DB!$A:$A,MATCH($E119,[1]DB!$D:$D,0)),
        IF(
          COUNTIFS($C$2:C119,C119,$E$2:E119,E119,$D$2:D119,D119)=2,
          INDEX([1]DB!$B:$B,MATCH($E119,[1]DB!$D:$D,0)),
          INDEX([1]DB!$C:$C,MATCH($E119,[1]DB!$D:$D,0))
        )
      )
    )
  ),
  0
)</f>
        <v>0</v>
      </c>
      <c r="L119" s="9">
        <f>IFERROR(
  IF(
    D119&lt;&gt;"Geoffroy",
    0,
    IF(
      C119="",
      IF(
        COUNTIFS($B$2:B119,B119,$E$2:E119,E119,$D$2:D119,D119)=1,
        INDEX([1]DB!$A:$A,MATCH($E119,[1]DB!$D:$D,0)),
        IF(
          COUNTIFS($B$2:B119,B119,$E$2:E119,E119,$D$2:D119,D119)=2,
          INDEX([1]DB!$B:$B,MATCH($E119,[1]DB!$D:$D,0)),
          INDEX([1]DB!$C:$C,MATCH($E119,[1]DB!$D:$D,0))
        )
      ),
      IF(
        COUNTIFS($C$2:C119,C119,$E$2:E119,E119,$D$2:D119,D119)=1,
        INDEX([1]DB!$A:$A,MATCH($E119,[1]DB!$D:$D,0)),
        IF(
          COUNTIFS($C$2:C119,C119,$E$2:E119,E119,$D$2:D119,D119)=2,
          INDEX([1]DB!$B:$B,MATCH($E119,[1]DB!$D:$D,0)),
          INDEX([1]DB!$C:$C,MATCH($E119,[1]DB!$D:$D,0))
        )
      )
    )
  ),
  0
)</f>
        <v>0</v>
      </c>
      <c r="M119" s="9">
        <f>IFERROR(
  IF(
    D119&lt;&gt;"Tiphaine",
    0,
    IF(
      C119="",
      IF(
        COUNTIFS($B$2:B119,B119,$E$2:E119,E119,$D$2:D119,D119)=1,
        INDEX([1]DB!$A:$A,MATCH($E119,[1]DB!$D:$D,0)),
        IF(
          COUNTIFS($B$2:B119,B119,$E$2:E119,E119,$D$2:D119,D119)=2,
          INDEX([1]DB!$B:$B,MATCH($E119,[1]DB!$D:$D,0)),
          INDEX([1]DB!$C:$C,MATCH($E119,[1]DB!$D:$D,0))
        )
      ),
      IF(
        COUNTIFS($C$2:C119,C119,$E$2:E119,E119,$D$2:D119,D119)=1,
        INDEX([1]DB!$A:$A,MATCH($E119,[1]DB!$D:$D,0)),
        IF(
          COUNTIFS($C$2:C119,C119,$E$2:E119,E119,$D$2:D119,D119)=2,
          INDEX([1]DB!$B:$B,MATCH($E119,[1]DB!$D:$D,0)),
          INDEX([1]DB!$C:$C,MATCH($E119,[1]DB!$D:$D,0))
        )
      )
    )
  ),
  0
)</f>
        <v>0</v>
      </c>
      <c r="N119" s="9">
        <f>IFERROR(
  IF(
    D119&lt;&gt;"Catherine",
    0,
    IF(
      C119="",
      IF(
        COUNTIFS($B$2:B119,B119,$E$2:E119,E119,$D$2:D119,D119)=1,
        INDEX([1]DB!$A:$A,MATCH($E119,[1]DB!$D:$D,0)),
        IF(
          COUNTIFS($B$2:B119,B119,$E$2:E119,E119,$D$2:D119,D119)=2,
          INDEX([1]DB!$B:$B,MATCH($E119,[1]DB!$D:$D,0)),
          INDEX([1]DB!$C:$C,MATCH($E119,[1]DB!$D:$D,0))
        )
      ),
      IF(
        COUNTIFS($C$2:C119,C119,$E$2:E119,E119,$D$2:D119,D119)=1,
        INDEX([1]DB!$A:$A,MATCH($E119,[1]DB!$D:$D,0)),
        IF(
          COUNTIFS($C$2:C119,C119,$E$2:E119,E119,$D$2:D119,D119)=2,
          INDEX([1]DB!$B:$B,MATCH($E119,[1]DB!$D:$D,0)),
          INDEX([1]DB!$C:$C,MATCH($E119,[1]DB!$D:$D,0))
        )
      )
    )
  ),
  0
)</f>
        <v>0</v>
      </c>
      <c r="O119" s="5" t="str">
        <f>IF(DAY(A119)&lt;=15,UPPER(LEFT(TEXT(A119,"mmmm"),1))&amp;RIGHT(TEXT(A119,"mmmm"),LEN(TEXT(A119,"mmmm"))-1),UPPER(LEFT(TEXT(DATE(YEAR(A119),MONTH(A119)+1,1),"mmmm"),1))&amp;RIGHT(TEXT(DATE(YEAR(A119),MONTH(A119)+1,1),"mmmm"),LEN(TEXT(DATE(YEAR(A119),MONTH(A119)+1,1),"mmmm"))-1))</f>
        <v>Janvier</v>
      </c>
      <c r="P119" s="6" t="str">
        <f ca="1">IF(AND(A119&lt;=TODAY(),F119&lt;&gt;""),"OK","NON")</f>
        <v>NON</v>
      </c>
    </row>
    <row r="120" spans="1:16">
      <c r="A120" s="4"/>
      <c r="B120" s="5"/>
      <c r="C120" s="5"/>
      <c r="D120" s="6"/>
      <c r="E120" s="6"/>
      <c r="F120" s="7"/>
      <c r="G120" s="8" cm="1">
        <f t="array" ref="G120">IFERROR(
  IF(D120&lt;&gt;"Cédric",
     0,
     SUMPRODUCT(
       (TRIM(SUBSTITUTE(UPPER($B$2:$B120),CHAR(160),""))=TRIM(SUBSTITUTE(UPPER(B120),CHAR(160),"")))*
       (TRIM(SUBSTITUTE(UPPER($C$2:$C120),CHAR(160),""))=TRIM(SUBSTITUTE(UPPER(C120),CHAR(160),"")))*
       (TRIM(SUBSTITUTE(UPPER($D$2:$D120),CHAR(160),""))=TRIM(SUBSTITUTE(UPPER(D120),CHAR(160),"")))*
       (TRIM(SUBSTITUTE(UPPER($E$2:$E120),CHAR(160),""))=TRIM(SUBSTITUTE(UPPER(E120),CHAR(160),"")))
     )
  ),
  0
)</f>
        <v>0</v>
      </c>
      <c r="H120" s="8" cm="1">
        <f t="array" ref="H120">IFERROR(
  IF(D120&lt;&gt;"Geoffroy",
     0,
     SUMPRODUCT(
       (TRIM(SUBSTITUTE(UPPER($B$2:$B120),CHAR(160),""))=TRIM(SUBSTITUTE(UPPER(B120),CHAR(160),"")))*
       (TRIM(SUBSTITUTE(UPPER($C$2:$C120),CHAR(160),""))=TRIM(SUBSTITUTE(UPPER(C120),CHAR(160),"")))*
       (TRIM(SUBSTITUTE(UPPER($D$2:$D120),CHAR(160),""))=TRIM(SUBSTITUTE(UPPER(D120),CHAR(160),"")))*
       (TRIM(SUBSTITUTE(UPPER($E$2:$E120),CHAR(160),""))=TRIM(SUBSTITUTE(UPPER(E120),CHAR(160),"")))
     )
  ),
  0
)</f>
        <v>0</v>
      </c>
      <c r="I120" s="8" cm="1">
        <f t="array" ref="I120">IFERROR(
  IF(D120&lt;&gt;"Tiphaine",
     0,
     SUMPRODUCT(
       (TRIM(SUBSTITUTE(UPPER($B$2:$B120),CHAR(160),""))=TRIM(SUBSTITUTE(UPPER(B120),CHAR(160),"")))*
       (TRIM(SUBSTITUTE(UPPER($C$2:$C120),CHAR(160),""))=TRIM(SUBSTITUTE(UPPER(C120),CHAR(160),"")))*
       (TRIM(SUBSTITUTE(UPPER($D$2:$D120),CHAR(160),""))=TRIM(SUBSTITUTE(UPPER(D120),CHAR(160),"")))*
       (TRIM(SUBSTITUTE(UPPER($E$2:$E120),CHAR(160),""))=TRIM(SUBSTITUTE(UPPER(E120),CHAR(160),"")))
     )
  ),
  0
)</f>
        <v>0</v>
      </c>
      <c r="J120" s="8" cm="1">
        <f t="array" ref="J120">IFERROR(
  IF(D120&lt;&gt;"Catherine",
     0,
     SUMPRODUCT(
       (TRIM(SUBSTITUTE(UPPER($B$2:$B120),CHAR(160),""))=TRIM(SUBSTITUTE(UPPER(B120),CHAR(160),"")))*
       (TRIM(SUBSTITUTE(UPPER($C$2:$C120),CHAR(160),""))=TRIM(SUBSTITUTE(UPPER(C120),CHAR(160),"")))*
       (TRIM(SUBSTITUTE(UPPER($D$2:$D120),CHAR(160),""))=TRIM(SUBSTITUTE(UPPER(D120),CHAR(160),"")))*
       (TRIM(SUBSTITUTE(UPPER($E$2:$E120),CHAR(160),""))=TRIM(SUBSTITUTE(UPPER(E120),CHAR(160),"")))
     )
  ),
  0
)</f>
        <v>0</v>
      </c>
      <c r="K120" s="9">
        <f>IFERROR(
  IF(
    D120&lt;&gt;"Cédric",
    0,
    IF(
      C120="",
      IF(
        COUNTIFS($B$2:B120,B120,$E$2:E120,E120,$D$2:D120,D120)=1,
        INDEX([1]DB!$A:$A,MATCH($E120,[1]DB!$D:$D,0)),
        IF(
          COUNTIFS($B$2:B120,B120,$E$2:E120,E120,$D$2:D120,D120)=2,
          INDEX([1]DB!$B:$B,MATCH($E120,[1]DB!$D:$D,0)),
          INDEX([1]DB!$C:$C,MATCH($E120,[1]DB!$D:$D,0))
        )
      ),
      IF(
        COUNTIFS($C$2:C120,C120,$E$2:E120,E120,$D$2:D120,D120)=1,
        INDEX([1]DB!$A:$A,MATCH($E120,[1]DB!$D:$D,0)),
        IF(
          COUNTIFS($C$2:C120,C120,$E$2:E120,E120,$D$2:D120,D120)=2,
          INDEX([1]DB!$B:$B,MATCH($E120,[1]DB!$D:$D,0)),
          INDEX([1]DB!$C:$C,MATCH($E120,[1]DB!$D:$D,0))
        )
      )
    )
  ),
  0
)</f>
        <v>0</v>
      </c>
      <c r="L120" s="9">
        <f>IFERROR(
  IF(
    D120&lt;&gt;"Geoffroy",
    0,
    IF(
      C120="",
      IF(
        COUNTIFS($B$2:B120,B120,$E$2:E120,E120,$D$2:D120,D120)=1,
        INDEX([1]DB!$A:$A,MATCH($E120,[1]DB!$D:$D,0)),
        IF(
          COUNTIFS($B$2:B120,B120,$E$2:E120,E120,$D$2:D120,D120)=2,
          INDEX([1]DB!$B:$B,MATCH($E120,[1]DB!$D:$D,0)),
          INDEX([1]DB!$C:$C,MATCH($E120,[1]DB!$D:$D,0))
        )
      ),
      IF(
        COUNTIFS($C$2:C120,C120,$E$2:E120,E120,$D$2:D120,D120)=1,
        INDEX([1]DB!$A:$A,MATCH($E120,[1]DB!$D:$D,0)),
        IF(
          COUNTIFS($C$2:C120,C120,$E$2:E120,E120,$D$2:D120,D120)=2,
          INDEX([1]DB!$B:$B,MATCH($E120,[1]DB!$D:$D,0)),
          INDEX([1]DB!$C:$C,MATCH($E120,[1]DB!$D:$D,0))
        )
      )
    )
  ),
  0
)</f>
        <v>0</v>
      </c>
      <c r="M120" s="9">
        <f>IFERROR(
  IF(
    D120&lt;&gt;"Tiphaine",
    0,
    IF(
      C120="",
      IF(
        COUNTIFS($B$2:B120,B120,$E$2:E120,E120,$D$2:D120,D120)=1,
        INDEX([1]DB!$A:$A,MATCH($E120,[1]DB!$D:$D,0)),
        IF(
          COUNTIFS($B$2:B120,B120,$E$2:E120,E120,$D$2:D120,D120)=2,
          INDEX([1]DB!$B:$B,MATCH($E120,[1]DB!$D:$D,0)),
          INDEX([1]DB!$C:$C,MATCH($E120,[1]DB!$D:$D,0))
        )
      ),
      IF(
        COUNTIFS($C$2:C120,C120,$E$2:E120,E120,$D$2:D120,D120)=1,
        INDEX([1]DB!$A:$A,MATCH($E120,[1]DB!$D:$D,0)),
        IF(
          COUNTIFS($C$2:C120,C120,$E$2:E120,E120,$D$2:D120,D120)=2,
          INDEX([1]DB!$B:$B,MATCH($E120,[1]DB!$D:$D,0)),
          INDEX([1]DB!$C:$C,MATCH($E120,[1]DB!$D:$D,0))
        )
      )
    )
  ),
  0
)</f>
        <v>0</v>
      </c>
      <c r="N120" s="9">
        <f>IFERROR(
  IF(
    D120&lt;&gt;"Catherine",
    0,
    IF(
      C120="",
      IF(
        COUNTIFS($B$2:B120,B120,$E$2:E120,E120,$D$2:D120,D120)=1,
        INDEX([1]DB!$A:$A,MATCH($E120,[1]DB!$D:$D,0)),
        IF(
          COUNTIFS($B$2:B120,B120,$E$2:E120,E120,$D$2:D120,D120)=2,
          INDEX([1]DB!$B:$B,MATCH($E120,[1]DB!$D:$D,0)),
          INDEX([1]DB!$C:$C,MATCH($E120,[1]DB!$D:$D,0))
        )
      ),
      IF(
        COUNTIFS($C$2:C120,C120,$E$2:E120,E120,$D$2:D120,D120)=1,
        INDEX([1]DB!$A:$A,MATCH($E120,[1]DB!$D:$D,0)),
        IF(
          COUNTIFS($C$2:C120,C120,$E$2:E120,E120,$D$2:D120,D120)=2,
          INDEX([1]DB!$B:$B,MATCH($E120,[1]DB!$D:$D,0)),
          INDEX([1]DB!$C:$C,MATCH($E120,[1]DB!$D:$D,0))
        )
      )
    )
  ),
  0
)</f>
        <v>0</v>
      </c>
      <c r="O120" s="5" t="str">
        <f>IF(DAY(A120)&lt;=15,UPPER(LEFT(TEXT(A120,"mmmm"),1))&amp;RIGHT(TEXT(A120,"mmmm"),LEN(TEXT(A120,"mmmm"))-1),UPPER(LEFT(TEXT(DATE(YEAR(A120),MONTH(A120)+1,1),"mmmm"),1))&amp;RIGHT(TEXT(DATE(YEAR(A120),MONTH(A120)+1,1),"mmmm"),LEN(TEXT(DATE(YEAR(A120),MONTH(A120)+1,1),"mmmm"))-1))</f>
        <v>Janvier</v>
      </c>
      <c r="P120" s="6" t="str">
        <f ca="1">IF(AND(A120&lt;=TODAY(),F120&lt;&gt;""),"OK","NON")</f>
        <v>NON</v>
      </c>
    </row>
    <row r="121" spans="1:16">
      <c r="A121" s="4"/>
      <c r="B121" s="5"/>
      <c r="C121" s="5"/>
      <c r="D121" s="6"/>
      <c r="E121" s="6"/>
      <c r="F121" s="7"/>
      <c r="G121" s="8" cm="1">
        <f t="array" ref="G121">IFERROR(
  IF(D121&lt;&gt;"Cédric",
     0,
     SUMPRODUCT(
       (TRIM(SUBSTITUTE(UPPER($B$2:$B121),CHAR(160),""))=TRIM(SUBSTITUTE(UPPER(B121),CHAR(160),"")))*
       (TRIM(SUBSTITUTE(UPPER($C$2:$C121),CHAR(160),""))=TRIM(SUBSTITUTE(UPPER(C121),CHAR(160),"")))*
       (TRIM(SUBSTITUTE(UPPER($D$2:$D121),CHAR(160),""))=TRIM(SUBSTITUTE(UPPER(D121),CHAR(160),"")))*
       (TRIM(SUBSTITUTE(UPPER($E$2:$E121),CHAR(160),""))=TRIM(SUBSTITUTE(UPPER(E121),CHAR(160),"")))
     )
  ),
  0
)</f>
        <v>0</v>
      </c>
      <c r="H121" s="8" cm="1">
        <f t="array" ref="H121">IFERROR(
  IF(D121&lt;&gt;"Geoffroy",
     0,
     SUMPRODUCT(
       (TRIM(SUBSTITUTE(UPPER($B$2:$B121),CHAR(160),""))=TRIM(SUBSTITUTE(UPPER(B121),CHAR(160),"")))*
       (TRIM(SUBSTITUTE(UPPER($C$2:$C121),CHAR(160),""))=TRIM(SUBSTITUTE(UPPER(C121),CHAR(160),"")))*
       (TRIM(SUBSTITUTE(UPPER($D$2:$D121),CHAR(160),""))=TRIM(SUBSTITUTE(UPPER(D121),CHAR(160),"")))*
       (TRIM(SUBSTITUTE(UPPER($E$2:$E121),CHAR(160),""))=TRIM(SUBSTITUTE(UPPER(E121),CHAR(160),"")))
     )
  ),
  0
)</f>
        <v>0</v>
      </c>
      <c r="I121" s="8" cm="1">
        <f t="array" ref="I121">IFERROR(
  IF(D121&lt;&gt;"Tiphaine",
     0,
     SUMPRODUCT(
       (TRIM(SUBSTITUTE(UPPER($B$2:$B121),CHAR(160),""))=TRIM(SUBSTITUTE(UPPER(B121),CHAR(160),"")))*
       (TRIM(SUBSTITUTE(UPPER($C$2:$C121),CHAR(160),""))=TRIM(SUBSTITUTE(UPPER(C121),CHAR(160),"")))*
       (TRIM(SUBSTITUTE(UPPER($D$2:$D121),CHAR(160),""))=TRIM(SUBSTITUTE(UPPER(D121),CHAR(160),"")))*
       (TRIM(SUBSTITUTE(UPPER($E$2:$E121),CHAR(160),""))=TRIM(SUBSTITUTE(UPPER(E121),CHAR(160),"")))
     )
  ),
  0
)</f>
        <v>0</v>
      </c>
      <c r="J121" s="8" cm="1">
        <f t="array" ref="J121">IFERROR(
  IF(D121&lt;&gt;"Catherine",
     0,
     SUMPRODUCT(
       (TRIM(SUBSTITUTE(UPPER($B$2:$B121),CHAR(160),""))=TRIM(SUBSTITUTE(UPPER(B121),CHAR(160),"")))*
       (TRIM(SUBSTITUTE(UPPER($C$2:$C121),CHAR(160),""))=TRIM(SUBSTITUTE(UPPER(C121),CHAR(160),"")))*
       (TRIM(SUBSTITUTE(UPPER($D$2:$D121),CHAR(160),""))=TRIM(SUBSTITUTE(UPPER(D121),CHAR(160),"")))*
       (TRIM(SUBSTITUTE(UPPER($E$2:$E121),CHAR(160),""))=TRIM(SUBSTITUTE(UPPER(E121),CHAR(160),"")))
     )
  ),
  0
)</f>
        <v>0</v>
      </c>
      <c r="K121" s="9">
        <f>IFERROR(
  IF(
    D121&lt;&gt;"Cédric",
    0,
    IF(
      C121="",
      IF(
        COUNTIFS($B$2:B121,B121,$E$2:E121,E121,$D$2:D121,D121)=1,
        INDEX([1]DB!$A:$A,MATCH($E121,[1]DB!$D:$D,0)),
        IF(
          COUNTIFS($B$2:B121,B121,$E$2:E121,E121,$D$2:D121,D121)=2,
          INDEX([1]DB!$B:$B,MATCH($E121,[1]DB!$D:$D,0)),
          INDEX([1]DB!$C:$C,MATCH($E121,[1]DB!$D:$D,0))
        )
      ),
      IF(
        COUNTIFS($C$2:C121,C121,$E$2:E121,E121,$D$2:D121,D121)=1,
        INDEX([1]DB!$A:$A,MATCH($E121,[1]DB!$D:$D,0)),
        IF(
          COUNTIFS($C$2:C121,C121,$E$2:E121,E121,$D$2:D121,D121)=2,
          INDEX([1]DB!$B:$B,MATCH($E121,[1]DB!$D:$D,0)),
          INDEX([1]DB!$C:$C,MATCH($E121,[1]DB!$D:$D,0))
        )
      )
    )
  ),
  0
)</f>
        <v>0</v>
      </c>
      <c r="L121" s="9">
        <f>IFERROR(
  IF(
    D121&lt;&gt;"Geoffroy",
    0,
    IF(
      C121="",
      IF(
        COUNTIFS($B$2:B121,B121,$E$2:E121,E121,$D$2:D121,D121)=1,
        INDEX([1]DB!$A:$A,MATCH($E121,[1]DB!$D:$D,0)),
        IF(
          COUNTIFS($B$2:B121,B121,$E$2:E121,E121,$D$2:D121,D121)=2,
          INDEX([1]DB!$B:$B,MATCH($E121,[1]DB!$D:$D,0)),
          INDEX([1]DB!$C:$C,MATCH($E121,[1]DB!$D:$D,0))
        )
      ),
      IF(
        COUNTIFS($C$2:C121,C121,$E$2:E121,E121,$D$2:D121,D121)=1,
        INDEX([1]DB!$A:$A,MATCH($E121,[1]DB!$D:$D,0)),
        IF(
          COUNTIFS($C$2:C121,C121,$E$2:E121,E121,$D$2:D121,D121)=2,
          INDEX([1]DB!$B:$B,MATCH($E121,[1]DB!$D:$D,0)),
          INDEX([1]DB!$C:$C,MATCH($E121,[1]DB!$D:$D,0))
        )
      )
    )
  ),
  0
)</f>
        <v>0</v>
      </c>
      <c r="M121" s="9">
        <f>IFERROR(
  IF(
    D121&lt;&gt;"Tiphaine",
    0,
    IF(
      C121="",
      IF(
        COUNTIFS($B$2:B121,B121,$E$2:E121,E121,$D$2:D121,D121)=1,
        INDEX([1]DB!$A:$A,MATCH($E121,[1]DB!$D:$D,0)),
        IF(
          COUNTIFS($B$2:B121,B121,$E$2:E121,E121,$D$2:D121,D121)=2,
          INDEX([1]DB!$B:$B,MATCH($E121,[1]DB!$D:$D,0)),
          INDEX([1]DB!$C:$C,MATCH($E121,[1]DB!$D:$D,0))
        )
      ),
      IF(
        COUNTIFS($C$2:C121,C121,$E$2:E121,E121,$D$2:D121,D121)=1,
        INDEX([1]DB!$A:$A,MATCH($E121,[1]DB!$D:$D,0)),
        IF(
          COUNTIFS($C$2:C121,C121,$E$2:E121,E121,$D$2:D121,D121)=2,
          INDEX([1]DB!$B:$B,MATCH($E121,[1]DB!$D:$D,0)),
          INDEX([1]DB!$C:$C,MATCH($E121,[1]DB!$D:$D,0))
        )
      )
    )
  ),
  0
)</f>
        <v>0</v>
      </c>
      <c r="N121" s="9">
        <f>IFERROR(
  IF(
    D121&lt;&gt;"Catherine",
    0,
    IF(
      C121="",
      IF(
        COUNTIFS($B$2:B121,B121,$E$2:E121,E121,$D$2:D121,D121)=1,
        INDEX([1]DB!$A:$A,MATCH($E121,[1]DB!$D:$D,0)),
        IF(
          COUNTIFS($B$2:B121,B121,$E$2:E121,E121,$D$2:D121,D121)=2,
          INDEX([1]DB!$B:$B,MATCH($E121,[1]DB!$D:$D,0)),
          INDEX([1]DB!$C:$C,MATCH($E121,[1]DB!$D:$D,0))
        )
      ),
      IF(
        COUNTIFS($C$2:C121,C121,$E$2:E121,E121,$D$2:D121,D121)=1,
        INDEX([1]DB!$A:$A,MATCH($E121,[1]DB!$D:$D,0)),
        IF(
          COUNTIFS($C$2:C121,C121,$E$2:E121,E121,$D$2:D121,D121)=2,
          INDEX([1]DB!$B:$B,MATCH($E121,[1]DB!$D:$D,0)),
          INDEX([1]DB!$C:$C,MATCH($E121,[1]DB!$D:$D,0))
        )
      )
    )
  ),
  0
)</f>
        <v>0</v>
      </c>
      <c r="O121" s="5" t="str">
        <f>IF(DAY(A121)&lt;=15,UPPER(LEFT(TEXT(A121,"mmmm"),1))&amp;RIGHT(TEXT(A121,"mmmm"),LEN(TEXT(A121,"mmmm"))-1),UPPER(LEFT(TEXT(DATE(YEAR(A121),MONTH(A121)+1,1),"mmmm"),1))&amp;RIGHT(TEXT(DATE(YEAR(A121),MONTH(A121)+1,1),"mmmm"),LEN(TEXT(DATE(YEAR(A121),MONTH(A121)+1,1),"mmmm"))-1))</f>
        <v>Janvier</v>
      </c>
      <c r="P121" s="6" t="str">
        <f ca="1">IF(AND(A121&lt;=TODAY(),F121&lt;&gt;""),"OK","NON")</f>
        <v>NON</v>
      </c>
    </row>
    <row r="122" spans="1:16">
      <c r="A122" s="4"/>
      <c r="B122" s="5"/>
      <c r="C122" s="5"/>
      <c r="D122" s="6"/>
      <c r="E122" s="6"/>
      <c r="F122" s="7"/>
      <c r="G122" s="8" cm="1">
        <f t="array" ref="G122">IFERROR(
  IF(D122&lt;&gt;"Cédric",
     0,
     SUMPRODUCT(
       (TRIM(SUBSTITUTE(UPPER($B$2:$B122),CHAR(160),""))=TRIM(SUBSTITUTE(UPPER(B122),CHAR(160),"")))*
       (TRIM(SUBSTITUTE(UPPER($C$2:$C122),CHAR(160),""))=TRIM(SUBSTITUTE(UPPER(C122),CHAR(160),"")))*
       (TRIM(SUBSTITUTE(UPPER($D$2:$D122),CHAR(160),""))=TRIM(SUBSTITUTE(UPPER(D122),CHAR(160),"")))*
       (TRIM(SUBSTITUTE(UPPER($E$2:$E122),CHAR(160),""))=TRIM(SUBSTITUTE(UPPER(E122),CHAR(160),"")))
     )
  ),
  0
)</f>
        <v>0</v>
      </c>
      <c r="H122" s="8" cm="1">
        <f t="array" ref="H122">IFERROR(
  IF(D122&lt;&gt;"Geoffroy",
     0,
     SUMPRODUCT(
       (TRIM(SUBSTITUTE(UPPER($B$2:$B122),CHAR(160),""))=TRIM(SUBSTITUTE(UPPER(B122),CHAR(160),"")))*
       (TRIM(SUBSTITUTE(UPPER($C$2:$C122),CHAR(160),""))=TRIM(SUBSTITUTE(UPPER(C122),CHAR(160),"")))*
       (TRIM(SUBSTITUTE(UPPER($D$2:$D122),CHAR(160),""))=TRIM(SUBSTITUTE(UPPER(D122),CHAR(160),"")))*
       (TRIM(SUBSTITUTE(UPPER($E$2:$E122),CHAR(160),""))=TRIM(SUBSTITUTE(UPPER(E122),CHAR(160),"")))
     )
  ),
  0
)</f>
        <v>0</v>
      </c>
      <c r="I122" s="8" cm="1">
        <f t="array" ref="I122">IFERROR(
  IF(D122&lt;&gt;"Tiphaine",
     0,
     SUMPRODUCT(
       (TRIM(SUBSTITUTE(UPPER($B$2:$B122),CHAR(160),""))=TRIM(SUBSTITUTE(UPPER(B122),CHAR(160),"")))*
       (TRIM(SUBSTITUTE(UPPER($C$2:$C122),CHAR(160),""))=TRIM(SUBSTITUTE(UPPER(C122),CHAR(160),"")))*
       (TRIM(SUBSTITUTE(UPPER($D$2:$D122),CHAR(160),""))=TRIM(SUBSTITUTE(UPPER(D122),CHAR(160),"")))*
       (TRIM(SUBSTITUTE(UPPER($E$2:$E122),CHAR(160),""))=TRIM(SUBSTITUTE(UPPER(E122),CHAR(160),"")))
     )
  ),
  0
)</f>
        <v>0</v>
      </c>
      <c r="J122" s="8" cm="1">
        <f t="array" ref="J122">IFERROR(
  IF(D122&lt;&gt;"Catherine",
     0,
     SUMPRODUCT(
       (TRIM(SUBSTITUTE(UPPER($B$2:$B122),CHAR(160),""))=TRIM(SUBSTITUTE(UPPER(B122),CHAR(160),"")))*
       (TRIM(SUBSTITUTE(UPPER($C$2:$C122),CHAR(160),""))=TRIM(SUBSTITUTE(UPPER(C122),CHAR(160),"")))*
       (TRIM(SUBSTITUTE(UPPER($D$2:$D122),CHAR(160),""))=TRIM(SUBSTITUTE(UPPER(D122),CHAR(160),"")))*
       (TRIM(SUBSTITUTE(UPPER($E$2:$E122),CHAR(160),""))=TRIM(SUBSTITUTE(UPPER(E122),CHAR(160),"")))
     )
  ),
  0
)</f>
        <v>0</v>
      </c>
      <c r="K122" s="9">
        <f>IFERROR(
  IF(
    D122&lt;&gt;"Cédric",
    0,
    IF(
      C122="",
      IF(
        COUNTIFS($B$2:B122,B122,$E$2:E122,E122,$D$2:D122,D122)=1,
        INDEX([1]DB!$A:$A,MATCH($E122,[1]DB!$D:$D,0)),
        IF(
          COUNTIFS($B$2:B122,B122,$E$2:E122,E122,$D$2:D122,D122)=2,
          INDEX([1]DB!$B:$B,MATCH($E122,[1]DB!$D:$D,0)),
          INDEX([1]DB!$C:$C,MATCH($E122,[1]DB!$D:$D,0))
        )
      ),
      IF(
        COUNTIFS($C$2:C122,C122,$E$2:E122,E122,$D$2:D122,D122)=1,
        INDEX([1]DB!$A:$A,MATCH($E122,[1]DB!$D:$D,0)),
        IF(
          COUNTIFS($C$2:C122,C122,$E$2:E122,E122,$D$2:D122,D122)=2,
          INDEX([1]DB!$B:$B,MATCH($E122,[1]DB!$D:$D,0)),
          INDEX([1]DB!$C:$C,MATCH($E122,[1]DB!$D:$D,0))
        )
      )
    )
  ),
  0
)</f>
        <v>0</v>
      </c>
      <c r="L122" s="9">
        <f>IFERROR(
  IF(
    D122&lt;&gt;"Geoffroy",
    0,
    IF(
      C122="",
      IF(
        COUNTIFS($B$2:B122,B122,$E$2:E122,E122,$D$2:D122,D122)=1,
        INDEX([1]DB!$A:$A,MATCH($E122,[1]DB!$D:$D,0)),
        IF(
          COUNTIFS($B$2:B122,B122,$E$2:E122,E122,$D$2:D122,D122)=2,
          INDEX([1]DB!$B:$B,MATCH($E122,[1]DB!$D:$D,0)),
          INDEX([1]DB!$C:$C,MATCH($E122,[1]DB!$D:$D,0))
        )
      ),
      IF(
        COUNTIFS($C$2:C122,C122,$E$2:E122,E122,$D$2:D122,D122)=1,
        INDEX([1]DB!$A:$A,MATCH($E122,[1]DB!$D:$D,0)),
        IF(
          COUNTIFS($C$2:C122,C122,$E$2:E122,E122,$D$2:D122,D122)=2,
          INDEX([1]DB!$B:$B,MATCH($E122,[1]DB!$D:$D,0)),
          INDEX([1]DB!$C:$C,MATCH($E122,[1]DB!$D:$D,0))
        )
      )
    )
  ),
  0
)</f>
        <v>0</v>
      </c>
      <c r="M122" s="9">
        <f>IFERROR(
  IF(
    D122&lt;&gt;"Tiphaine",
    0,
    IF(
      C122="",
      IF(
        COUNTIFS($B$2:B122,B122,$E$2:E122,E122,$D$2:D122,D122)=1,
        INDEX([1]DB!$A:$A,MATCH($E122,[1]DB!$D:$D,0)),
        IF(
          COUNTIFS($B$2:B122,B122,$E$2:E122,E122,$D$2:D122,D122)=2,
          INDEX([1]DB!$B:$B,MATCH($E122,[1]DB!$D:$D,0)),
          INDEX([1]DB!$C:$C,MATCH($E122,[1]DB!$D:$D,0))
        )
      ),
      IF(
        COUNTIFS($C$2:C122,C122,$E$2:E122,E122,$D$2:D122,D122)=1,
        INDEX([1]DB!$A:$A,MATCH($E122,[1]DB!$D:$D,0)),
        IF(
          COUNTIFS($C$2:C122,C122,$E$2:E122,E122,$D$2:D122,D122)=2,
          INDEX([1]DB!$B:$B,MATCH($E122,[1]DB!$D:$D,0)),
          INDEX([1]DB!$C:$C,MATCH($E122,[1]DB!$D:$D,0))
        )
      )
    )
  ),
  0
)</f>
        <v>0</v>
      </c>
      <c r="N122" s="9">
        <f>IFERROR(
  IF(
    D122&lt;&gt;"Catherine",
    0,
    IF(
      C122="",
      IF(
        COUNTIFS($B$2:B122,B122,$E$2:E122,E122,$D$2:D122,D122)=1,
        INDEX([1]DB!$A:$A,MATCH($E122,[1]DB!$D:$D,0)),
        IF(
          COUNTIFS($B$2:B122,B122,$E$2:E122,E122,$D$2:D122,D122)=2,
          INDEX([1]DB!$B:$B,MATCH($E122,[1]DB!$D:$D,0)),
          INDEX([1]DB!$C:$C,MATCH($E122,[1]DB!$D:$D,0))
        )
      ),
      IF(
        COUNTIFS($C$2:C122,C122,$E$2:E122,E122,$D$2:D122,D122)=1,
        INDEX([1]DB!$A:$A,MATCH($E122,[1]DB!$D:$D,0)),
        IF(
          COUNTIFS($C$2:C122,C122,$E$2:E122,E122,$D$2:D122,D122)=2,
          INDEX([1]DB!$B:$B,MATCH($E122,[1]DB!$D:$D,0)),
          INDEX([1]DB!$C:$C,MATCH($E122,[1]DB!$D:$D,0))
        )
      )
    )
  ),
  0
)</f>
        <v>0</v>
      </c>
      <c r="O122" s="5" t="str">
        <f>IF(DAY(A122)&lt;=15,UPPER(LEFT(TEXT(A122,"mmmm"),1))&amp;RIGHT(TEXT(A122,"mmmm"),LEN(TEXT(A122,"mmmm"))-1),UPPER(LEFT(TEXT(DATE(YEAR(A122),MONTH(A122)+1,1),"mmmm"),1))&amp;RIGHT(TEXT(DATE(YEAR(A122),MONTH(A122)+1,1),"mmmm"),LEN(TEXT(DATE(YEAR(A122),MONTH(A122)+1,1),"mmmm"))-1))</f>
        <v>Janvier</v>
      </c>
      <c r="P122" s="6" t="str">
        <f ca="1">IF(AND(A122&lt;=TODAY(),F122&lt;&gt;""),"OK","NON")</f>
        <v>NON</v>
      </c>
    </row>
    <row r="123" spans="1:16">
      <c r="A123" s="4"/>
      <c r="B123" s="5"/>
      <c r="C123" s="5"/>
      <c r="D123" s="6"/>
      <c r="E123" s="6"/>
      <c r="F123" s="7"/>
      <c r="G123" s="8" cm="1">
        <f t="array" ref="G123">IFERROR(
  IF(D123&lt;&gt;"Cédric",
     0,
     SUMPRODUCT(
       (TRIM(SUBSTITUTE(UPPER($B$2:$B123),CHAR(160),""))=TRIM(SUBSTITUTE(UPPER(B123),CHAR(160),"")))*
       (TRIM(SUBSTITUTE(UPPER($C$2:$C123),CHAR(160),""))=TRIM(SUBSTITUTE(UPPER(C123),CHAR(160),"")))*
       (TRIM(SUBSTITUTE(UPPER($D$2:$D123),CHAR(160),""))=TRIM(SUBSTITUTE(UPPER(D123),CHAR(160),"")))*
       (TRIM(SUBSTITUTE(UPPER($E$2:$E123),CHAR(160),""))=TRIM(SUBSTITUTE(UPPER(E123),CHAR(160),"")))
     )
  ),
  0
)</f>
        <v>0</v>
      </c>
      <c r="H123" s="8" cm="1">
        <f t="array" ref="H123">IFERROR(
  IF(D123&lt;&gt;"Geoffroy",
     0,
     SUMPRODUCT(
       (TRIM(SUBSTITUTE(UPPER($B$2:$B123),CHAR(160),""))=TRIM(SUBSTITUTE(UPPER(B123),CHAR(160),"")))*
       (TRIM(SUBSTITUTE(UPPER($C$2:$C123),CHAR(160),""))=TRIM(SUBSTITUTE(UPPER(C123),CHAR(160),"")))*
       (TRIM(SUBSTITUTE(UPPER($D$2:$D123),CHAR(160),""))=TRIM(SUBSTITUTE(UPPER(D123),CHAR(160),"")))*
       (TRIM(SUBSTITUTE(UPPER($E$2:$E123),CHAR(160),""))=TRIM(SUBSTITUTE(UPPER(E123),CHAR(160),"")))
     )
  ),
  0
)</f>
        <v>0</v>
      </c>
      <c r="I123" s="8" cm="1">
        <f t="array" ref="I123">IFERROR(
  IF(D123&lt;&gt;"Tiphaine",
     0,
     SUMPRODUCT(
       (TRIM(SUBSTITUTE(UPPER($B$2:$B123),CHAR(160),""))=TRIM(SUBSTITUTE(UPPER(B123),CHAR(160),"")))*
       (TRIM(SUBSTITUTE(UPPER($C$2:$C123),CHAR(160),""))=TRIM(SUBSTITUTE(UPPER(C123),CHAR(160),"")))*
       (TRIM(SUBSTITUTE(UPPER($D$2:$D123),CHAR(160),""))=TRIM(SUBSTITUTE(UPPER(D123),CHAR(160),"")))*
       (TRIM(SUBSTITUTE(UPPER($E$2:$E123),CHAR(160),""))=TRIM(SUBSTITUTE(UPPER(E123),CHAR(160),"")))
     )
  ),
  0
)</f>
        <v>0</v>
      </c>
      <c r="J123" s="8" cm="1">
        <f t="array" ref="J123">IFERROR(
  IF(D123&lt;&gt;"Catherine",
     0,
     SUMPRODUCT(
       (TRIM(SUBSTITUTE(UPPER($B$2:$B123),CHAR(160),""))=TRIM(SUBSTITUTE(UPPER(B123),CHAR(160),"")))*
       (TRIM(SUBSTITUTE(UPPER($C$2:$C123),CHAR(160),""))=TRIM(SUBSTITUTE(UPPER(C123),CHAR(160),"")))*
       (TRIM(SUBSTITUTE(UPPER($D$2:$D123),CHAR(160),""))=TRIM(SUBSTITUTE(UPPER(D123),CHAR(160),"")))*
       (TRIM(SUBSTITUTE(UPPER($E$2:$E123),CHAR(160),""))=TRIM(SUBSTITUTE(UPPER(E123),CHAR(160),"")))
     )
  ),
  0
)</f>
        <v>0</v>
      </c>
      <c r="K123" s="9">
        <f>IFERROR(
  IF(
    D123&lt;&gt;"Cédric",
    0,
    IF(
      C123="",
      IF(
        COUNTIFS($B$2:B123,B123,$E$2:E123,E123,$D$2:D123,D123)=1,
        INDEX([1]DB!$A:$A,MATCH($E123,[1]DB!$D:$D,0)),
        IF(
          COUNTIFS($B$2:B123,B123,$E$2:E123,E123,$D$2:D123,D123)=2,
          INDEX([1]DB!$B:$B,MATCH($E123,[1]DB!$D:$D,0)),
          INDEX([1]DB!$C:$C,MATCH($E123,[1]DB!$D:$D,0))
        )
      ),
      IF(
        COUNTIFS($C$2:C123,C123,$E$2:E123,E123,$D$2:D123,D123)=1,
        INDEX([1]DB!$A:$A,MATCH($E123,[1]DB!$D:$D,0)),
        IF(
          COUNTIFS($C$2:C123,C123,$E$2:E123,E123,$D$2:D123,D123)=2,
          INDEX([1]DB!$B:$B,MATCH($E123,[1]DB!$D:$D,0)),
          INDEX([1]DB!$C:$C,MATCH($E123,[1]DB!$D:$D,0))
        )
      )
    )
  ),
  0
)</f>
        <v>0</v>
      </c>
      <c r="L123" s="9">
        <f>IFERROR(
  IF(
    D123&lt;&gt;"Geoffroy",
    0,
    IF(
      C123="",
      IF(
        COUNTIFS($B$2:B123,B123,$E$2:E123,E123,$D$2:D123,D123)=1,
        INDEX([1]DB!$A:$A,MATCH($E123,[1]DB!$D:$D,0)),
        IF(
          COUNTIFS($B$2:B123,B123,$E$2:E123,E123,$D$2:D123,D123)=2,
          INDEX([1]DB!$B:$B,MATCH($E123,[1]DB!$D:$D,0)),
          INDEX([1]DB!$C:$C,MATCH($E123,[1]DB!$D:$D,0))
        )
      ),
      IF(
        COUNTIFS($C$2:C123,C123,$E$2:E123,E123,$D$2:D123,D123)=1,
        INDEX([1]DB!$A:$A,MATCH($E123,[1]DB!$D:$D,0)),
        IF(
          COUNTIFS($C$2:C123,C123,$E$2:E123,E123,$D$2:D123,D123)=2,
          INDEX([1]DB!$B:$B,MATCH($E123,[1]DB!$D:$D,0)),
          INDEX([1]DB!$C:$C,MATCH($E123,[1]DB!$D:$D,0))
        )
      )
    )
  ),
  0
)</f>
        <v>0</v>
      </c>
      <c r="M123" s="9">
        <f>IFERROR(
  IF(
    D123&lt;&gt;"Tiphaine",
    0,
    IF(
      C123="",
      IF(
        COUNTIFS($B$2:B123,B123,$E$2:E123,E123,$D$2:D123,D123)=1,
        INDEX([1]DB!$A:$A,MATCH($E123,[1]DB!$D:$D,0)),
        IF(
          COUNTIFS($B$2:B123,B123,$E$2:E123,E123,$D$2:D123,D123)=2,
          INDEX([1]DB!$B:$B,MATCH($E123,[1]DB!$D:$D,0)),
          INDEX([1]DB!$C:$C,MATCH($E123,[1]DB!$D:$D,0))
        )
      ),
      IF(
        COUNTIFS($C$2:C123,C123,$E$2:E123,E123,$D$2:D123,D123)=1,
        INDEX([1]DB!$A:$A,MATCH($E123,[1]DB!$D:$D,0)),
        IF(
          COUNTIFS($C$2:C123,C123,$E$2:E123,E123,$D$2:D123,D123)=2,
          INDEX([1]DB!$B:$B,MATCH($E123,[1]DB!$D:$D,0)),
          INDEX([1]DB!$C:$C,MATCH($E123,[1]DB!$D:$D,0))
        )
      )
    )
  ),
  0
)</f>
        <v>0</v>
      </c>
      <c r="N123" s="9">
        <f>IFERROR(
  IF(
    D123&lt;&gt;"Catherine",
    0,
    IF(
      C123="",
      IF(
        COUNTIFS($B$2:B123,B123,$E$2:E123,E123,$D$2:D123,D123)=1,
        INDEX([1]DB!$A:$A,MATCH($E123,[1]DB!$D:$D,0)),
        IF(
          COUNTIFS($B$2:B123,B123,$E$2:E123,E123,$D$2:D123,D123)=2,
          INDEX([1]DB!$B:$B,MATCH($E123,[1]DB!$D:$D,0)),
          INDEX([1]DB!$C:$C,MATCH($E123,[1]DB!$D:$D,0))
        )
      ),
      IF(
        COUNTIFS($C$2:C123,C123,$E$2:E123,E123,$D$2:D123,D123)=1,
        INDEX([1]DB!$A:$A,MATCH($E123,[1]DB!$D:$D,0)),
        IF(
          COUNTIFS($C$2:C123,C123,$E$2:E123,E123,$D$2:D123,D123)=2,
          INDEX([1]DB!$B:$B,MATCH($E123,[1]DB!$D:$D,0)),
          INDEX([1]DB!$C:$C,MATCH($E123,[1]DB!$D:$D,0))
        )
      )
    )
  ),
  0
)</f>
        <v>0</v>
      </c>
      <c r="O123" s="5" t="str">
        <f>IF(DAY(A123)&lt;=15,UPPER(LEFT(TEXT(A123,"mmmm"),1))&amp;RIGHT(TEXT(A123,"mmmm"),LEN(TEXT(A123,"mmmm"))-1),UPPER(LEFT(TEXT(DATE(YEAR(A123),MONTH(A123)+1,1),"mmmm"),1))&amp;RIGHT(TEXT(DATE(YEAR(A123),MONTH(A123)+1,1),"mmmm"),LEN(TEXT(DATE(YEAR(A123),MONTH(A123)+1,1),"mmmm"))-1))</f>
        <v>Janvier</v>
      </c>
      <c r="P123" s="6" t="str">
        <f ca="1">IF(AND(A123&lt;=TODAY(),F123&lt;&gt;""),"OK","NON")</f>
        <v>NON</v>
      </c>
    </row>
    <row r="124" spans="1:16">
      <c r="A124" s="4"/>
      <c r="B124" s="5"/>
      <c r="C124" s="5"/>
      <c r="D124" s="6"/>
      <c r="E124" s="6"/>
      <c r="F124" s="7"/>
      <c r="G124" s="8" cm="1">
        <f t="array" ref="G124">IFERROR(
  IF(D124&lt;&gt;"Cédric",
     0,
     SUMPRODUCT(
       (TRIM(SUBSTITUTE(UPPER($B$2:$B124),CHAR(160),""))=TRIM(SUBSTITUTE(UPPER(B124),CHAR(160),"")))*
       (TRIM(SUBSTITUTE(UPPER($C$2:$C124),CHAR(160),""))=TRIM(SUBSTITUTE(UPPER(C124),CHAR(160),"")))*
       (TRIM(SUBSTITUTE(UPPER($D$2:$D124),CHAR(160),""))=TRIM(SUBSTITUTE(UPPER(D124),CHAR(160),"")))*
       (TRIM(SUBSTITUTE(UPPER($E$2:$E124),CHAR(160),""))=TRIM(SUBSTITUTE(UPPER(E124),CHAR(160),"")))
     )
  ),
  0
)</f>
        <v>0</v>
      </c>
      <c r="H124" s="8" cm="1">
        <f t="array" ref="H124">IFERROR(
  IF(D124&lt;&gt;"Geoffroy",
     0,
     SUMPRODUCT(
       (TRIM(SUBSTITUTE(UPPER($B$2:$B124),CHAR(160),""))=TRIM(SUBSTITUTE(UPPER(B124),CHAR(160),"")))*
       (TRIM(SUBSTITUTE(UPPER($C$2:$C124),CHAR(160),""))=TRIM(SUBSTITUTE(UPPER(C124),CHAR(160),"")))*
       (TRIM(SUBSTITUTE(UPPER($D$2:$D124),CHAR(160),""))=TRIM(SUBSTITUTE(UPPER(D124),CHAR(160),"")))*
       (TRIM(SUBSTITUTE(UPPER($E$2:$E124),CHAR(160),""))=TRIM(SUBSTITUTE(UPPER(E124),CHAR(160),"")))
     )
  ),
  0
)</f>
        <v>0</v>
      </c>
      <c r="I124" s="8" cm="1">
        <f t="array" ref="I124">IFERROR(
  IF(D124&lt;&gt;"Tiphaine",
     0,
     SUMPRODUCT(
       (TRIM(SUBSTITUTE(UPPER($B$2:$B124),CHAR(160),""))=TRIM(SUBSTITUTE(UPPER(B124),CHAR(160),"")))*
       (TRIM(SUBSTITUTE(UPPER($C$2:$C124),CHAR(160),""))=TRIM(SUBSTITUTE(UPPER(C124),CHAR(160),"")))*
       (TRIM(SUBSTITUTE(UPPER($D$2:$D124),CHAR(160),""))=TRIM(SUBSTITUTE(UPPER(D124),CHAR(160),"")))*
       (TRIM(SUBSTITUTE(UPPER($E$2:$E124),CHAR(160),""))=TRIM(SUBSTITUTE(UPPER(E124),CHAR(160),"")))
     )
  ),
  0
)</f>
        <v>0</v>
      </c>
      <c r="J124" s="8" cm="1">
        <f t="array" ref="J124">IFERROR(
  IF(D124&lt;&gt;"Catherine",
     0,
     SUMPRODUCT(
       (TRIM(SUBSTITUTE(UPPER($B$2:$B124),CHAR(160),""))=TRIM(SUBSTITUTE(UPPER(B124),CHAR(160),"")))*
       (TRIM(SUBSTITUTE(UPPER($C$2:$C124),CHAR(160),""))=TRIM(SUBSTITUTE(UPPER(C124),CHAR(160),"")))*
       (TRIM(SUBSTITUTE(UPPER($D$2:$D124),CHAR(160),""))=TRIM(SUBSTITUTE(UPPER(D124),CHAR(160),"")))*
       (TRIM(SUBSTITUTE(UPPER($E$2:$E124),CHAR(160),""))=TRIM(SUBSTITUTE(UPPER(E124),CHAR(160),"")))
     )
  ),
  0
)</f>
        <v>0</v>
      </c>
      <c r="K124" s="9">
        <f>IFERROR(
  IF(
    D124&lt;&gt;"Cédric",
    0,
    IF(
      C124="",
      IF(
        COUNTIFS($B$2:B124,B124,$E$2:E124,E124,$D$2:D124,D124)=1,
        INDEX([1]DB!$A:$A,MATCH($E124,[1]DB!$D:$D,0)),
        IF(
          COUNTIFS($B$2:B124,B124,$E$2:E124,E124,$D$2:D124,D124)=2,
          INDEX([1]DB!$B:$B,MATCH($E124,[1]DB!$D:$D,0)),
          INDEX([1]DB!$C:$C,MATCH($E124,[1]DB!$D:$D,0))
        )
      ),
      IF(
        COUNTIFS($C$2:C124,C124,$E$2:E124,E124,$D$2:D124,D124)=1,
        INDEX([1]DB!$A:$A,MATCH($E124,[1]DB!$D:$D,0)),
        IF(
          COUNTIFS($C$2:C124,C124,$E$2:E124,E124,$D$2:D124,D124)=2,
          INDEX([1]DB!$B:$B,MATCH($E124,[1]DB!$D:$D,0)),
          INDEX([1]DB!$C:$C,MATCH($E124,[1]DB!$D:$D,0))
        )
      )
    )
  ),
  0
)</f>
        <v>0</v>
      </c>
      <c r="L124" s="9">
        <f>IFERROR(
  IF(
    D124&lt;&gt;"Geoffroy",
    0,
    IF(
      C124="",
      IF(
        COUNTIFS($B$2:B124,B124,$E$2:E124,E124,$D$2:D124,D124)=1,
        INDEX([1]DB!$A:$A,MATCH($E124,[1]DB!$D:$D,0)),
        IF(
          COUNTIFS($B$2:B124,B124,$E$2:E124,E124,$D$2:D124,D124)=2,
          INDEX([1]DB!$B:$B,MATCH($E124,[1]DB!$D:$D,0)),
          INDEX([1]DB!$C:$C,MATCH($E124,[1]DB!$D:$D,0))
        )
      ),
      IF(
        COUNTIFS($C$2:C124,C124,$E$2:E124,E124,$D$2:D124,D124)=1,
        INDEX([1]DB!$A:$A,MATCH($E124,[1]DB!$D:$D,0)),
        IF(
          COUNTIFS($C$2:C124,C124,$E$2:E124,E124,$D$2:D124,D124)=2,
          INDEX([1]DB!$B:$B,MATCH($E124,[1]DB!$D:$D,0)),
          INDEX([1]DB!$C:$C,MATCH($E124,[1]DB!$D:$D,0))
        )
      )
    )
  ),
  0
)</f>
        <v>0</v>
      </c>
      <c r="M124" s="9">
        <f>IFERROR(
  IF(
    D124&lt;&gt;"Tiphaine",
    0,
    IF(
      C124="",
      IF(
        COUNTIFS($B$2:B124,B124,$E$2:E124,E124,$D$2:D124,D124)=1,
        INDEX([1]DB!$A:$A,MATCH($E124,[1]DB!$D:$D,0)),
        IF(
          COUNTIFS($B$2:B124,B124,$E$2:E124,E124,$D$2:D124,D124)=2,
          INDEX([1]DB!$B:$B,MATCH($E124,[1]DB!$D:$D,0)),
          INDEX([1]DB!$C:$C,MATCH($E124,[1]DB!$D:$D,0))
        )
      ),
      IF(
        COUNTIFS($C$2:C124,C124,$E$2:E124,E124,$D$2:D124,D124)=1,
        INDEX([1]DB!$A:$A,MATCH($E124,[1]DB!$D:$D,0)),
        IF(
          COUNTIFS($C$2:C124,C124,$E$2:E124,E124,$D$2:D124,D124)=2,
          INDEX([1]DB!$B:$B,MATCH($E124,[1]DB!$D:$D,0)),
          INDEX([1]DB!$C:$C,MATCH($E124,[1]DB!$D:$D,0))
        )
      )
    )
  ),
  0
)</f>
        <v>0</v>
      </c>
      <c r="N124" s="9">
        <f>IFERROR(
  IF(
    D124&lt;&gt;"Catherine",
    0,
    IF(
      C124="",
      IF(
        COUNTIFS($B$2:B124,B124,$E$2:E124,E124,$D$2:D124,D124)=1,
        INDEX([1]DB!$A:$A,MATCH($E124,[1]DB!$D:$D,0)),
        IF(
          COUNTIFS($B$2:B124,B124,$E$2:E124,E124,$D$2:D124,D124)=2,
          INDEX([1]DB!$B:$B,MATCH($E124,[1]DB!$D:$D,0)),
          INDEX([1]DB!$C:$C,MATCH($E124,[1]DB!$D:$D,0))
        )
      ),
      IF(
        COUNTIFS($C$2:C124,C124,$E$2:E124,E124,$D$2:D124,D124)=1,
        INDEX([1]DB!$A:$A,MATCH($E124,[1]DB!$D:$D,0)),
        IF(
          COUNTIFS($C$2:C124,C124,$E$2:E124,E124,$D$2:D124,D124)=2,
          INDEX([1]DB!$B:$B,MATCH($E124,[1]DB!$D:$D,0)),
          INDEX([1]DB!$C:$C,MATCH($E124,[1]DB!$D:$D,0))
        )
      )
    )
  ),
  0
)</f>
        <v>0</v>
      </c>
      <c r="O124" s="5" t="str">
        <f>IF(DAY(A124)&lt;=15,UPPER(LEFT(TEXT(A124,"mmmm"),1))&amp;RIGHT(TEXT(A124,"mmmm"),LEN(TEXT(A124,"mmmm"))-1),UPPER(LEFT(TEXT(DATE(YEAR(A124),MONTH(A124)+1,1),"mmmm"),1))&amp;RIGHT(TEXT(DATE(YEAR(A124),MONTH(A124)+1,1),"mmmm"),LEN(TEXT(DATE(YEAR(A124),MONTH(A124)+1,1),"mmmm"))-1))</f>
        <v>Janvier</v>
      </c>
      <c r="P124" s="6" t="str">
        <f ca="1">IF(AND(A124&lt;=TODAY(),F124&lt;&gt;""),"OK","NON")</f>
        <v>NON</v>
      </c>
    </row>
    <row r="125" spans="1:16">
      <c r="A125" s="4"/>
      <c r="B125" s="5"/>
      <c r="C125" s="5"/>
      <c r="D125" s="6"/>
      <c r="E125" s="6"/>
      <c r="F125" s="7"/>
      <c r="G125" s="8" cm="1">
        <f t="array" ref="G125">IFERROR(
  IF(D125&lt;&gt;"Cédric",
     0,
     SUMPRODUCT(
       (TRIM(SUBSTITUTE(UPPER($B$2:$B125),CHAR(160),""))=TRIM(SUBSTITUTE(UPPER(B125),CHAR(160),"")))*
       (TRIM(SUBSTITUTE(UPPER($C$2:$C125),CHAR(160),""))=TRIM(SUBSTITUTE(UPPER(C125),CHAR(160),"")))*
       (TRIM(SUBSTITUTE(UPPER($D$2:$D125),CHAR(160),""))=TRIM(SUBSTITUTE(UPPER(D125),CHAR(160),"")))*
       (TRIM(SUBSTITUTE(UPPER($E$2:$E125),CHAR(160),""))=TRIM(SUBSTITUTE(UPPER(E125),CHAR(160),"")))
     )
  ),
  0
)</f>
        <v>0</v>
      </c>
      <c r="H125" s="8" cm="1">
        <f t="array" ref="H125">IFERROR(
  IF(D125&lt;&gt;"Geoffroy",
     0,
     SUMPRODUCT(
       (TRIM(SUBSTITUTE(UPPER($B$2:$B125),CHAR(160),""))=TRIM(SUBSTITUTE(UPPER(B125),CHAR(160),"")))*
       (TRIM(SUBSTITUTE(UPPER($C$2:$C125),CHAR(160),""))=TRIM(SUBSTITUTE(UPPER(C125),CHAR(160),"")))*
       (TRIM(SUBSTITUTE(UPPER($D$2:$D125),CHAR(160),""))=TRIM(SUBSTITUTE(UPPER(D125),CHAR(160),"")))*
       (TRIM(SUBSTITUTE(UPPER($E$2:$E125),CHAR(160),""))=TRIM(SUBSTITUTE(UPPER(E125),CHAR(160),"")))
     )
  ),
  0
)</f>
        <v>0</v>
      </c>
      <c r="I125" s="8" cm="1">
        <f t="array" ref="I125">IFERROR(
  IF(D125&lt;&gt;"Tiphaine",
     0,
     SUMPRODUCT(
       (TRIM(SUBSTITUTE(UPPER($B$2:$B125),CHAR(160),""))=TRIM(SUBSTITUTE(UPPER(B125),CHAR(160),"")))*
       (TRIM(SUBSTITUTE(UPPER($C$2:$C125),CHAR(160),""))=TRIM(SUBSTITUTE(UPPER(C125),CHAR(160),"")))*
       (TRIM(SUBSTITUTE(UPPER($D$2:$D125),CHAR(160),""))=TRIM(SUBSTITUTE(UPPER(D125),CHAR(160),"")))*
       (TRIM(SUBSTITUTE(UPPER($E$2:$E125),CHAR(160),""))=TRIM(SUBSTITUTE(UPPER(E125),CHAR(160),"")))
     )
  ),
  0
)</f>
        <v>0</v>
      </c>
      <c r="J125" s="8" cm="1">
        <f t="array" ref="J125">IFERROR(
  IF(D125&lt;&gt;"Catherine",
     0,
     SUMPRODUCT(
       (TRIM(SUBSTITUTE(UPPER($B$2:$B125),CHAR(160),""))=TRIM(SUBSTITUTE(UPPER(B125),CHAR(160),"")))*
       (TRIM(SUBSTITUTE(UPPER($C$2:$C125),CHAR(160),""))=TRIM(SUBSTITUTE(UPPER(C125),CHAR(160),"")))*
       (TRIM(SUBSTITUTE(UPPER($D$2:$D125),CHAR(160),""))=TRIM(SUBSTITUTE(UPPER(D125),CHAR(160),"")))*
       (TRIM(SUBSTITUTE(UPPER($E$2:$E125),CHAR(160),""))=TRIM(SUBSTITUTE(UPPER(E125),CHAR(160),"")))
     )
  ),
  0
)</f>
        <v>0</v>
      </c>
      <c r="K125" s="19">
        <f>IFERROR(
  IF(
    D125&lt;&gt;"Cédric",
    0,
    IF(
      C125="",
      IF(
        COUNTIFS($B$2:B125,B125,$E$2:E125,E125,$D$2:D125,D125)=1,
        INDEX([1]DB!$A:$A,MATCH($E125,[1]DB!$D:$D,0)),
        IF(
          COUNTIFS($B$2:B125,B125,$E$2:E125,E125,$D$2:D125,D125)=2,
          INDEX([1]DB!$B:$B,MATCH($E125,[1]DB!$D:$D,0)),
          INDEX([1]DB!$C:$C,MATCH($E125,[1]DB!$D:$D,0))
        )
      ),
      IF(
        COUNTIFS($C$2:C125,C125,$E$2:E125,E125,$D$2:D125,D125)=1,
        INDEX([1]DB!$A:$A,MATCH($E125,[1]DB!$D:$D,0)),
        IF(
          COUNTIFS($C$2:C125,C125,$E$2:E125,E125,$D$2:D125,D125)=2,
          INDEX([1]DB!$B:$B,MATCH($E125,[1]DB!$D:$D,0)),
          INDEX([1]DB!$C:$C,MATCH($E125,[1]DB!$D:$D,0))
        )
      )
    )
  ),
  0
)</f>
        <v>0</v>
      </c>
      <c r="L125" s="9">
        <f>IFERROR(
  IF(
    D125&lt;&gt;"Geoffroy",
    0,
    IF(
      C125="",
      IF(
        COUNTIFS($B$2:B125,B125,$E$2:E125,E125,$D$2:D125,D125)=1,
        INDEX([1]DB!$A:$A,MATCH($E125,[1]DB!$D:$D,0)),
        IF(
          COUNTIFS($B$2:B125,B125,$E$2:E125,E125,$D$2:D125,D125)=2,
          INDEX([1]DB!$B:$B,MATCH($E125,[1]DB!$D:$D,0)),
          INDEX([1]DB!$C:$C,MATCH($E125,[1]DB!$D:$D,0))
        )
      ),
      IF(
        COUNTIFS($C$2:C125,C125,$E$2:E125,E125,$D$2:D125,D125)=1,
        INDEX([1]DB!$A:$A,MATCH($E125,[1]DB!$D:$D,0)),
        IF(
          COUNTIFS($C$2:C125,C125,$E$2:E125,E125,$D$2:D125,D125)=2,
          INDEX([1]DB!$B:$B,MATCH($E125,[1]DB!$D:$D,0)),
          INDEX([1]DB!$C:$C,MATCH($E125,[1]DB!$D:$D,0))
        )
      )
    )
  ),
  0
)</f>
        <v>0</v>
      </c>
      <c r="M125" s="9">
        <f>IFERROR(
  IF(
    D125&lt;&gt;"Tiphaine",
    0,
    IF(
      C125="",
      IF(
        COUNTIFS($B$2:B125,B125,$E$2:E125,E125,$D$2:D125,D125)=1,
        INDEX([1]DB!$A:$A,MATCH($E125,[1]DB!$D:$D,0)),
        IF(
          COUNTIFS($B$2:B125,B125,$E$2:E125,E125,$D$2:D125,D125)=2,
          INDEX([1]DB!$B:$B,MATCH($E125,[1]DB!$D:$D,0)),
          INDEX([1]DB!$C:$C,MATCH($E125,[1]DB!$D:$D,0))
        )
      ),
      IF(
        COUNTIFS($C$2:C125,C125,$E$2:E125,E125,$D$2:D125,D125)=1,
        INDEX([1]DB!$A:$A,MATCH($E125,[1]DB!$D:$D,0)),
        IF(
          COUNTIFS($C$2:C125,C125,$E$2:E125,E125,$D$2:D125,D125)=2,
          INDEX([1]DB!$B:$B,MATCH($E125,[1]DB!$D:$D,0)),
          INDEX([1]DB!$C:$C,MATCH($E125,[1]DB!$D:$D,0))
        )
      )
    )
  ),
  0
)</f>
        <v>0</v>
      </c>
      <c r="N125" s="9">
        <f>IFERROR(
  IF(
    D125&lt;&gt;"Catherine",
    0,
    IF(
      C125="",
      IF(
        COUNTIFS($B$2:B125,B125,$E$2:E125,E125,$D$2:D125,D125)=1,
        INDEX([1]DB!$A:$A,MATCH($E125,[1]DB!$D:$D,0)),
        IF(
          COUNTIFS($B$2:B125,B125,$E$2:E125,E125,$D$2:D125,D125)=2,
          INDEX([1]DB!$B:$B,MATCH($E125,[1]DB!$D:$D,0)),
          INDEX([1]DB!$C:$C,MATCH($E125,[1]DB!$D:$D,0))
        )
      ),
      IF(
        COUNTIFS($C$2:C125,C125,$E$2:E125,E125,$D$2:D125,D125)=1,
        INDEX([1]DB!$A:$A,MATCH($E125,[1]DB!$D:$D,0)),
        IF(
          COUNTIFS($C$2:C125,C125,$E$2:E125,E125,$D$2:D125,D125)=2,
          INDEX([1]DB!$B:$B,MATCH($E125,[1]DB!$D:$D,0)),
          INDEX([1]DB!$C:$C,MATCH($E125,[1]DB!$D:$D,0))
        )
      )
    )
  ),
  0
)</f>
        <v>0</v>
      </c>
      <c r="O125" s="20" t="str">
        <f t="shared" ref="O125:O150" si="2">IF(DAY(A125)&lt;=15,UPPER(LEFT(TEXT(A125,"mmmm"),1))&amp;RIGHT(TEXT(A125,"mmmm"),LEN(TEXT(A125,"mmmm"))-1),UPPER(LEFT(TEXT(DATE(YEAR(A125),MONTH(A125)+1,1),"mmmm"),1))&amp;RIGHT(TEXT(DATE(YEAR(A125),MONTH(A125)+1,1),"mmmm"),LEN(TEXT(DATE(YEAR(A125),MONTH(A125)+1,1),"mmmm"))-1))</f>
        <v>Janvier</v>
      </c>
      <c r="P125" s="21" t="str">
        <f t="shared" ref="P125:P150" ca="1" si="3">IF(AND(A125&lt;=TODAY(),F125&lt;&gt;""),"OK","NON")</f>
        <v>NON</v>
      </c>
    </row>
    <row r="126" spans="1:16">
      <c r="A126" s="4"/>
      <c r="B126" s="5"/>
      <c r="C126" s="5"/>
      <c r="D126" s="6"/>
      <c r="E126" s="6"/>
      <c r="F126" s="7"/>
      <c r="G126" s="8" cm="1">
        <f t="array" ref="G126">IFERROR(
  IF(D126&lt;&gt;"Cédric",
     0,
     SUMPRODUCT(
       (TRIM(SUBSTITUTE(UPPER($B$2:$B126),CHAR(160),""))=TRIM(SUBSTITUTE(UPPER(B126),CHAR(160),"")))*
       (TRIM(SUBSTITUTE(UPPER($C$2:$C126),CHAR(160),""))=TRIM(SUBSTITUTE(UPPER(C126),CHAR(160),"")))*
       (TRIM(SUBSTITUTE(UPPER($D$2:$D126),CHAR(160),""))=TRIM(SUBSTITUTE(UPPER(D126),CHAR(160),"")))*
       (TRIM(SUBSTITUTE(UPPER($E$2:$E126),CHAR(160),""))=TRIM(SUBSTITUTE(UPPER(E126),CHAR(160),"")))
     )
  ),
  0
)</f>
        <v>0</v>
      </c>
      <c r="H126" s="8" cm="1">
        <f t="array" ref="H126">IFERROR(
  IF(D126&lt;&gt;"Geoffroy",
     0,
     SUMPRODUCT(
       (TRIM(SUBSTITUTE(UPPER($B$2:$B126),CHAR(160),""))=TRIM(SUBSTITUTE(UPPER(B126),CHAR(160),"")))*
       (TRIM(SUBSTITUTE(UPPER($C$2:$C126),CHAR(160),""))=TRIM(SUBSTITUTE(UPPER(C126),CHAR(160),"")))*
       (TRIM(SUBSTITUTE(UPPER($D$2:$D126),CHAR(160),""))=TRIM(SUBSTITUTE(UPPER(D126),CHAR(160),"")))*
       (TRIM(SUBSTITUTE(UPPER($E$2:$E126),CHAR(160),""))=TRIM(SUBSTITUTE(UPPER(E126),CHAR(160),"")))
     )
  ),
  0
)</f>
        <v>0</v>
      </c>
      <c r="I126" s="8" cm="1">
        <f t="array" ref="I126">IFERROR(
  IF(D126&lt;&gt;"Tiphaine",
     0,
     SUMPRODUCT(
       (TRIM(SUBSTITUTE(UPPER($B$2:$B126),CHAR(160),""))=TRIM(SUBSTITUTE(UPPER(B126),CHAR(160),"")))*
       (TRIM(SUBSTITUTE(UPPER($C$2:$C126),CHAR(160),""))=TRIM(SUBSTITUTE(UPPER(C126),CHAR(160),"")))*
       (TRIM(SUBSTITUTE(UPPER($D$2:$D126),CHAR(160),""))=TRIM(SUBSTITUTE(UPPER(D126),CHAR(160),"")))*
       (TRIM(SUBSTITUTE(UPPER($E$2:$E126),CHAR(160),""))=TRIM(SUBSTITUTE(UPPER(E126),CHAR(160),"")))
     )
  ),
  0
)</f>
        <v>0</v>
      </c>
      <c r="J126" s="8" cm="1">
        <f t="array" ref="J126">IFERROR(
  IF(D126&lt;&gt;"Catherine",
     0,
     SUMPRODUCT(
       (TRIM(SUBSTITUTE(UPPER($B$2:$B126),CHAR(160),""))=TRIM(SUBSTITUTE(UPPER(B126),CHAR(160),"")))*
       (TRIM(SUBSTITUTE(UPPER($C$2:$C126),CHAR(160),""))=TRIM(SUBSTITUTE(UPPER(C126),CHAR(160),"")))*
       (TRIM(SUBSTITUTE(UPPER($D$2:$D126),CHAR(160),""))=TRIM(SUBSTITUTE(UPPER(D126),CHAR(160),"")))*
       (TRIM(SUBSTITUTE(UPPER($E$2:$E126),CHAR(160),""))=TRIM(SUBSTITUTE(UPPER(E126),CHAR(160),"")))
     )
  ),
  0
)</f>
        <v>0</v>
      </c>
      <c r="K126" s="19">
        <f>IFERROR(
  IF(
    D126&lt;&gt;"Cédric",
    0,
    IF(
      C126="",
      IF(
        COUNTIFS($B$2:B126,B126,$E$2:E126,E126,$D$2:D126,D126)=1,
        INDEX([1]DB!$A:$A,MATCH($E126,[1]DB!$D:$D,0)),
        IF(
          COUNTIFS($B$2:B126,B126,$E$2:E126,E126,$D$2:D126,D126)=2,
          INDEX([1]DB!$B:$B,MATCH($E126,[1]DB!$D:$D,0)),
          INDEX([1]DB!$C:$C,MATCH($E126,[1]DB!$D:$D,0))
        )
      ),
      IF(
        COUNTIFS($C$2:C126,C126,$E$2:E126,E126,$D$2:D126,D126)=1,
        INDEX([1]DB!$A:$A,MATCH($E126,[1]DB!$D:$D,0)),
        IF(
          COUNTIFS($C$2:C126,C126,$E$2:E126,E126,$D$2:D126,D126)=2,
          INDEX([1]DB!$B:$B,MATCH($E126,[1]DB!$D:$D,0)),
          INDEX([1]DB!$C:$C,MATCH($E126,[1]DB!$D:$D,0))
        )
      )
    )
  ),
  0
)</f>
        <v>0</v>
      </c>
      <c r="L126" s="9">
        <f>IFERROR(
  IF(
    D126&lt;&gt;"Geoffroy",
    0,
    IF(
      C126="",
      IF(
        COUNTIFS($B$2:B126,B126,$E$2:E126,E126,$D$2:D126,D126)=1,
        INDEX([1]DB!$A:$A,MATCH($E126,[1]DB!$D:$D,0)),
        IF(
          COUNTIFS($B$2:B126,B126,$E$2:E126,E126,$D$2:D126,D126)=2,
          INDEX([1]DB!$B:$B,MATCH($E126,[1]DB!$D:$D,0)),
          INDEX([1]DB!$C:$C,MATCH($E126,[1]DB!$D:$D,0))
        )
      ),
      IF(
        COUNTIFS($C$2:C126,C126,$E$2:E126,E126,$D$2:D126,D126)=1,
        INDEX([1]DB!$A:$A,MATCH($E126,[1]DB!$D:$D,0)),
        IF(
          COUNTIFS($C$2:C126,C126,$E$2:E126,E126,$D$2:D126,D126)=2,
          INDEX([1]DB!$B:$B,MATCH($E126,[1]DB!$D:$D,0)),
          INDEX([1]DB!$C:$C,MATCH($E126,[1]DB!$D:$D,0))
        )
      )
    )
  ),
  0
)</f>
        <v>0</v>
      </c>
      <c r="M126" s="9">
        <f>IFERROR(
  IF(
    D126&lt;&gt;"Tiphaine",
    0,
    IF(
      C126="",
      IF(
        COUNTIFS($B$2:B126,B126,$E$2:E126,E126,$D$2:D126,D126)=1,
        INDEX([1]DB!$A:$A,MATCH($E126,[1]DB!$D:$D,0)),
        IF(
          COUNTIFS($B$2:B126,B126,$E$2:E126,E126,$D$2:D126,D126)=2,
          INDEX([1]DB!$B:$B,MATCH($E126,[1]DB!$D:$D,0)),
          INDEX([1]DB!$C:$C,MATCH($E126,[1]DB!$D:$D,0))
        )
      ),
      IF(
        COUNTIFS($C$2:C126,C126,$E$2:E126,E126,$D$2:D126,D126)=1,
        INDEX([1]DB!$A:$A,MATCH($E126,[1]DB!$D:$D,0)),
        IF(
          COUNTIFS($C$2:C126,C126,$E$2:E126,E126,$D$2:D126,D126)=2,
          INDEX([1]DB!$B:$B,MATCH($E126,[1]DB!$D:$D,0)),
          INDEX([1]DB!$C:$C,MATCH($E126,[1]DB!$D:$D,0))
        )
      )
    )
  ),
  0
)</f>
        <v>0</v>
      </c>
      <c r="N126" s="9">
        <f>IFERROR(
  IF(
    D126&lt;&gt;"Catherine",
    0,
    IF(
      C126="",
      IF(
        COUNTIFS($B$2:B126,B126,$E$2:E126,E126,$D$2:D126,D126)=1,
        INDEX([1]DB!$A:$A,MATCH($E126,[1]DB!$D:$D,0)),
        IF(
          COUNTIFS($B$2:B126,B126,$E$2:E126,E126,$D$2:D126,D126)=2,
          INDEX([1]DB!$B:$B,MATCH($E126,[1]DB!$D:$D,0)),
          INDEX([1]DB!$C:$C,MATCH($E126,[1]DB!$D:$D,0))
        )
      ),
      IF(
        COUNTIFS($C$2:C126,C126,$E$2:E126,E126,$D$2:D126,D126)=1,
        INDEX([1]DB!$A:$A,MATCH($E126,[1]DB!$D:$D,0)),
        IF(
          COUNTIFS($C$2:C126,C126,$E$2:E126,E126,$D$2:D126,D126)=2,
          INDEX([1]DB!$B:$B,MATCH($E126,[1]DB!$D:$D,0)),
          INDEX([1]DB!$C:$C,MATCH($E126,[1]DB!$D:$D,0))
        )
      )
    )
  ),
  0
)</f>
        <v>0</v>
      </c>
      <c r="O126" s="20" t="str">
        <f t="shared" si="2"/>
        <v>Janvier</v>
      </c>
      <c r="P126" s="21" t="str">
        <f t="shared" ca="1" si="3"/>
        <v>NON</v>
      </c>
    </row>
    <row r="127" spans="1:16">
      <c r="A127" s="4"/>
      <c r="B127" s="5"/>
      <c r="C127" s="5"/>
      <c r="D127" s="6"/>
      <c r="E127" s="6"/>
      <c r="F127" s="7"/>
      <c r="G127" s="8" cm="1">
        <f t="array" ref="G127">IFERROR(
  IF(D127&lt;&gt;"Cédric",
     0,
     SUMPRODUCT(
       (TRIM(SUBSTITUTE(UPPER($B$2:$B127),CHAR(160),""))=TRIM(SUBSTITUTE(UPPER(B127),CHAR(160),"")))*
       (TRIM(SUBSTITUTE(UPPER($C$2:$C127),CHAR(160),""))=TRIM(SUBSTITUTE(UPPER(C127),CHAR(160),"")))*
       (TRIM(SUBSTITUTE(UPPER($D$2:$D127),CHAR(160),""))=TRIM(SUBSTITUTE(UPPER(D127),CHAR(160),"")))*
       (TRIM(SUBSTITUTE(UPPER($E$2:$E127),CHAR(160),""))=TRIM(SUBSTITUTE(UPPER(E127),CHAR(160),"")))
     )
  ),
  0
)</f>
        <v>0</v>
      </c>
      <c r="H127" s="8" cm="1">
        <f t="array" ref="H127">IFERROR(
  IF(D127&lt;&gt;"Geoffroy",
     0,
     SUMPRODUCT(
       (TRIM(SUBSTITUTE(UPPER($B$2:$B127),CHAR(160),""))=TRIM(SUBSTITUTE(UPPER(B127),CHAR(160),"")))*
       (TRIM(SUBSTITUTE(UPPER($C$2:$C127),CHAR(160),""))=TRIM(SUBSTITUTE(UPPER(C127),CHAR(160),"")))*
       (TRIM(SUBSTITUTE(UPPER($D$2:$D127),CHAR(160),""))=TRIM(SUBSTITUTE(UPPER(D127),CHAR(160),"")))*
       (TRIM(SUBSTITUTE(UPPER($E$2:$E127),CHAR(160),""))=TRIM(SUBSTITUTE(UPPER(E127),CHAR(160),"")))
     )
  ),
  0
)</f>
        <v>0</v>
      </c>
      <c r="I127" s="8" cm="1">
        <f t="array" ref="I127">IFERROR(
  IF(D127&lt;&gt;"Tiphaine",
     0,
     SUMPRODUCT(
       (TRIM(SUBSTITUTE(UPPER($B$2:$B127),CHAR(160),""))=TRIM(SUBSTITUTE(UPPER(B127),CHAR(160),"")))*
       (TRIM(SUBSTITUTE(UPPER($C$2:$C127),CHAR(160),""))=TRIM(SUBSTITUTE(UPPER(C127),CHAR(160),"")))*
       (TRIM(SUBSTITUTE(UPPER($D$2:$D127),CHAR(160),""))=TRIM(SUBSTITUTE(UPPER(D127),CHAR(160),"")))*
       (TRIM(SUBSTITUTE(UPPER($E$2:$E127),CHAR(160),""))=TRIM(SUBSTITUTE(UPPER(E127),CHAR(160),"")))
     )
  ),
  0
)</f>
        <v>0</v>
      </c>
      <c r="J127" s="8" cm="1">
        <f t="array" ref="J127">IFERROR(
  IF(D127&lt;&gt;"Catherine",
     0,
     SUMPRODUCT(
       (TRIM(SUBSTITUTE(UPPER($B$2:$B127),CHAR(160),""))=TRIM(SUBSTITUTE(UPPER(B127),CHAR(160),"")))*
       (TRIM(SUBSTITUTE(UPPER($C$2:$C127),CHAR(160),""))=TRIM(SUBSTITUTE(UPPER(C127),CHAR(160),"")))*
       (TRIM(SUBSTITUTE(UPPER($D$2:$D127),CHAR(160),""))=TRIM(SUBSTITUTE(UPPER(D127),CHAR(160),"")))*
       (TRIM(SUBSTITUTE(UPPER($E$2:$E127),CHAR(160),""))=TRIM(SUBSTITUTE(UPPER(E127),CHAR(160),"")))
     )
  ),
  0
)</f>
        <v>0</v>
      </c>
      <c r="K127" s="19">
        <f>IFERROR(
  IF(
    D127&lt;&gt;"Cédric",
    0,
    IF(
      C127="",
      IF(
        COUNTIFS($B$2:B127,B127,$E$2:E127,E127,$D$2:D127,D127)=1,
        INDEX([1]DB!$A:$A,MATCH($E127,[1]DB!$D:$D,0)),
        IF(
          COUNTIFS($B$2:B127,B127,$E$2:E127,E127,$D$2:D127,D127)=2,
          INDEX([1]DB!$B:$B,MATCH($E127,[1]DB!$D:$D,0)),
          INDEX([1]DB!$C:$C,MATCH($E127,[1]DB!$D:$D,0))
        )
      ),
      IF(
        COUNTIFS($C$2:C127,C127,$E$2:E127,E127,$D$2:D127,D127)=1,
        INDEX([1]DB!$A:$A,MATCH($E127,[1]DB!$D:$D,0)),
        IF(
          COUNTIFS($C$2:C127,C127,$E$2:E127,E127,$D$2:D127,D127)=2,
          INDEX([1]DB!$B:$B,MATCH($E127,[1]DB!$D:$D,0)),
          INDEX([1]DB!$C:$C,MATCH($E127,[1]DB!$D:$D,0))
        )
      )
    )
  ),
  0
)</f>
        <v>0</v>
      </c>
      <c r="L127" s="9">
        <f>IFERROR(
  IF(
    D127&lt;&gt;"Geoffroy",
    0,
    IF(
      C127="",
      IF(
        COUNTIFS($B$2:B127,B127,$E$2:E127,E127,$D$2:D127,D127)=1,
        INDEX([1]DB!$A:$A,MATCH($E127,[1]DB!$D:$D,0)),
        IF(
          COUNTIFS($B$2:B127,B127,$E$2:E127,E127,$D$2:D127,D127)=2,
          INDEX([1]DB!$B:$B,MATCH($E127,[1]DB!$D:$D,0)),
          INDEX([1]DB!$C:$C,MATCH($E127,[1]DB!$D:$D,0))
        )
      ),
      IF(
        COUNTIFS($C$2:C127,C127,$E$2:E127,E127,$D$2:D127,D127)=1,
        INDEX([1]DB!$A:$A,MATCH($E127,[1]DB!$D:$D,0)),
        IF(
          COUNTIFS($C$2:C127,C127,$E$2:E127,E127,$D$2:D127,D127)=2,
          INDEX([1]DB!$B:$B,MATCH($E127,[1]DB!$D:$D,0)),
          INDEX([1]DB!$C:$C,MATCH($E127,[1]DB!$D:$D,0))
        )
      )
    )
  ),
  0
)</f>
        <v>0</v>
      </c>
      <c r="M127" s="9">
        <f>IFERROR(
  IF(
    D127&lt;&gt;"Tiphaine",
    0,
    IF(
      C127="",
      IF(
        COUNTIFS($B$2:B127,B127,$E$2:E127,E127,$D$2:D127,D127)=1,
        INDEX([1]DB!$A:$A,MATCH($E127,[1]DB!$D:$D,0)),
        IF(
          COUNTIFS($B$2:B127,B127,$E$2:E127,E127,$D$2:D127,D127)=2,
          INDEX([1]DB!$B:$B,MATCH($E127,[1]DB!$D:$D,0)),
          INDEX([1]DB!$C:$C,MATCH($E127,[1]DB!$D:$D,0))
        )
      ),
      IF(
        COUNTIFS($C$2:C127,C127,$E$2:E127,E127,$D$2:D127,D127)=1,
        INDEX([1]DB!$A:$A,MATCH($E127,[1]DB!$D:$D,0)),
        IF(
          COUNTIFS($C$2:C127,C127,$E$2:E127,E127,$D$2:D127,D127)=2,
          INDEX([1]DB!$B:$B,MATCH($E127,[1]DB!$D:$D,0)),
          INDEX([1]DB!$C:$C,MATCH($E127,[1]DB!$D:$D,0))
        )
      )
    )
  ),
  0
)</f>
        <v>0</v>
      </c>
      <c r="N127" s="9">
        <f>IFERROR(
  IF(
    D127&lt;&gt;"Catherine",
    0,
    IF(
      C127="",
      IF(
        COUNTIFS($B$2:B127,B127,$E$2:E127,E127,$D$2:D127,D127)=1,
        INDEX([1]DB!$A:$A,MATCH($E127,[1]DB!$D:$D,0)),
        IF(
          COUNTIFS($B$2:B127,B127,$E$2:E127,E127,$D$2:D127,D127)=2,
          INDEX([1]DB!$B:$B,MATCH($E127,[1]DB!$D:$D,0)),
          INDEX([1]DB!$C:$C,MATCH($E127,[1]DB!$D:$D,0))
        )
      ),
      IF(
        COUNTIFS($C$2:C127,C127,$E$2:E127,E127,$D$2:D127,D127)=1,
        INDEX([1]DB!$A:$A,MATCH($E127,[1]DB!$D:$D,0)),
        IF(
          COUNTIFS($C$2:C127,C127,$E$2:E127,E127,$D$2:D127,D127)=2,
          INDEX([1]DB!$B:$B,MATCH($E127,[1]DB!$D:$D,0)),
          INDEX([1]DB!$C:$C,MATCH($E127,[1]DB!$D:$D,0))
        )
      )
    )
  ),
  0
)</f>
        <v>0</v>
      </c>
      <c r="O127" s="20" t="str">
        <f t="shared" si="2"/>
        <v>Janvier</v>
      </c>
      <c r="P127" s="21" t="str">
        <f t="shared" ca="1" si="3"/>
        <v>NON</v>
      </c>
    </row>
    <row r="128" spans="1:16">
      <c r="A128" s="4"/>
      <c r="B128" s="5"/>
      <c r="C128" s="5"/>
      <c r="D128" s="6"/>
      <c r="E128" s="6"/>
      <c r="F128" s="7"/>
      <c r="G128" s="8" cm="1">
        <f t="array" ref="G128">IFERROR(
  IF(D128&lt;&gt;"Cédric",
     0,
     SUMPRODUCT(
       (TRIM(SUBSTITUTE(UPPER($B$2:$B128),CHAR(160),""))=TRIM(SUBSTITUTE(UPPER(B128),CHAR(160),"")))*
       (TRIM(SUBSTITUTE(UPPER($C$2:$C128),CHAR(160),""))=TRIM(SUBSTITUTE(UPPER(C128),CHAR(160),"")))*
       (TRIM(SUBSTITUTE(UPPER($D$2:$D128),CHAR(160),""))=TRIM(SUBSTITUTE(UPPER(D128),CHAR(160),"")))*
       (TRIM(SUBSTITUTE(UPPER($E$2:$E128),CHAR(160),""))=TRIM(SUBSTITUTE(UPPER(E128),CHAR(160),"")))
     )
  ),
  0
)</f>
        <v>0</v>
      </c>
      <c r="H128" s="8" cm="1">
        <f t="array" ref="H128">IFERROR(
  IF(D128&lt;&gt;"Geoffroy",
     0,
     SUMPRODUCT(
       (TRIM(SUBSTITUTE(UPPER($B$2:$B128),CHAR(160),""))=TRIM(SUBSTITUTE(UPPER(B128),CHAR(160),"")))*
       (TRIM(SUBSTITUTE(UPPER($C$2:$C128),CHAR(160),""))=TRIM(SUBSTITUTE(UPPER(C128),CHAR(160),"")))*
       (TRIM(SUBSTITUTE(UPPER($D$2:$D128),CHAR(160),""))=TRIM(SUBSTITUTE(UPPER(D128),CHAR(160),"")))*
       (TRIM(SUBSTITUTE(UPPER($E$2:$E128),CHAR(160),""))=TRIM(SUBSTITUTE(UPPER(E128),CHAR(160),"")))
     )
  ),
  0
)</f>
        <v>0</v>
      </c>
      <c r="I128" s="8" cm="1">
        <f t="array" ref="I128">IFERROR(
  IF(D128&lt;&gt;"Tiphaine",
     0,
     SUMPRODUCT(
       (TRIM(SUBSTITUTE(UPPER($B$2:$B128),CHAR(160),""))=TRIM(SUBSTITUTE(UPPER(B128),CHAR(160),"")))*
       (TRIM(SUBSTITUTE(UPPER($C$2:$C128),CHAR(160),""))=TRIM(SUBSTITUTE(UPPER(C128),CHAR(160),"")))*
       (TRIM(SUBSTITUTE(UPPER($D$2:$D128),CHAR(160),""))=TRIM(SUBSTITUTE(UPPER(D128),CHAR(160),"")))*
       (TRIM(SUBSTITUTE(UPPER($E$2:$E128),CHAR(160),""))=TRIM(SUBSTITUTE(UPPER(E128),CHAR(160),"")))
     )
  ),
  0
)</f>
        <v>0</v>
      </c>
      <c r="J128" s="8" cm="1">
        <f t="array" ref="J128">IFERROR(
  IF(D128&lt;&gt;"Catherine",
     0,
     SUMPRODUCT(
       (TRIM(SUBSTITUTE(UPPER($B$2:$B128),CHAR(160),""))=TRIM(SUBSTITUTE(UPPER(B128),CHAR(160),"")))*
       (TRIM(SUBSTITUTE(UPPER($C$2:$C128),CHAR(160),""))=TRIM(SUBSTITUTE(UPPER(C128),CHAR(160),"")))*
       (TRIM(SUBSTITUTE(UPPER($D$2:$D128),CHAR(160),""))=TRIM(SUBSTITUTE(UPPER(D128),CHAR(160),"")))*
       (TRIM(SUBSTITUTE(UPPER($E$2:$E128),CHAR(160),""))=TRIM(SUBSTITUTE(UPPER(E128),CHAR(160),"")))
     )
  ),
  0
)</f>
        <v>0</v>
      </c>
      <c r="K128" s="19">
        <f>IFERROR(
  IF(
    D128&lt;&gt;"Cédric",
    0,
    IF(
      C128="",
      IF(
        COUNTIFS($B$2:B128,B128,$E$2:E128,E128,$D$2:D128,D128)=1,
        INDEX([1]DB!$A:$A,MATCH($E128,[1]DB!$D:$D,0)),
        IF(
          COUNTIFS($B$2:B128,B128,$E$2:E128,E128,$D$2:D128,D128)=2,
          INDEX([1]DB!$B:$B,MATCH($E128,[1]DB!$D:$D,0)),
          INDEX([1]DB!$C:$C,MATCH($E128,[1]DB!$D:$D,0))
        )
      ),
      IF(
        COUNTIFS($C$2:C128,C128,$E$2:E128,E128,$D$2:D128,D128)=1,
        INDEX([1]DB!$A:$A,MATCH($E128,[1]DB!$D:$D,0)),
        IF(
          COUNTIFS($C$2:C128,C128,$E$2:E128,E128,$D$2:D128,D128)=2,
          INDEX([1]DB!$B:$B,MATCH($E128,[1]DB!$D:$D,0)),
          INDEX([1]DB!$C:$C,MATCH($E128,[1]DB!$D:$D,0))
        )
      )
    )
  ),
  0
)</f>
        <v>0</v>
      </c>
      <c r="L128" s="9">
        <f>IFERROR(
  IF(
    D128&lt;&gt;"Geoffroy",
    0,
    IF(
      C128="",
      IF(
        COUNTIFS($B$2:B128,B128,$E$2:E128,E128,$D$2:D128,D128)=1,
        INDEX([1]DB!$A:$A,MATCH($E128,[1]DB!$D:$D,0)),
        IF(
          COUNTIFS($B$2:B128,B128,$E$2:E128,E128,$D$2:D128,D128)=2,
          INDEX([1]DB!$B:$B,MATCH($E128,[1]DB!$D:$D,0)),
          INDEX([1]DB!$C:$C,MATCH($E128,[1]DB!$D:$D,0))
        )
      ),
      IF(
        COUNTIFS($C$2:C128,C128,$E$2:E128,E128,$D$2:D128,D128)=1,
        INDEX([1]DB!$A:$A,MATCH($E128,[1]DB!$D:$D,0)),
        IF(
          COUNTIFS($C$2:C128,C128,$E$2:E128,E128,$D$2:D128,D128)=2,
          INDEX([1]DB!$B:$B,MATCH($E128,[1]DB!$D:$D,0)),
          INDEX([1]DB!$C:$C,MATCH($E128,[1]DB!$D:$D,0))
        )
      )
    )
  ),
  0
)</f>
        <v>0</v>
      </c>
      <c r="M128" s="9">
        <f>IFERROR(
  IF(
    D128&lt;&gt;"Tiphaine",
    0,
    IF(
      C128="",
      IF(
        COUNTIFS($B$2:B128,B128,$E$2:E128,E128,$D$2:D128,D128)=1,
        INDEX([1]DB!$A:$A,MATCH($E128,[1]DB!$D:$D,0)),
        IF(
          COUNTIFS($B$2:B128,B128,$E$2:E128,E128,$D$2:D128,D128)=2,
          INDEX([1]DB!$B:$B,MATCH($E128,[1]DB!$D:$D,0)),
          INDEX([1]DB!$C:$C,MATCH($E128,[1]DB!$D:$D,0))
        )
      ),
      IF(
        COUNTIFS($C$2:C128,C128,$E$2:E128,E128,$D$2:D128,D128)=1,
        INDEX([1]DB!$A:$A,MATCH($E128,[1]DB!$D:$D,0)),
        IF(
          COUNTIFS($C$2:C128,C128,$E$2:E128,E128,$D$2:D128,D128)=2,
          INDEX([1]DB!$B:$B,MATCH($E128,[1]DB!$D:$D,0)),
          INDEX([1]DB!$C:$C,MATCH($E128,[1]DB!$D:$D,0))
        )
      )
    )
  ),
  0
)</f>
        <v>0</v>
      </c>
      <c r="N128" s="9">
        <f>IFERROR(
  IF(
    D128&lt;&gt;"Catherine",
    0,
    IF(
      C128="",
      IF(
        COUNTIFS($B$2:B128,B128,$E$2:E128,E128,$D$2:D128,D128)=1,
        INDEX([1]DB!$A:$A,MATCH($E128,[1]DB!$D:$D,0)),
        IF(
          COUNTIFS($B$2:B128,B128,$E$2:E128,E128,$D$2:D128,D128)=2,
          INDEX([1]DB!$B:$B,MATCH($E128,[1]DB!$D:$D,0)),
          INDEX([1]DB!$C:$C,MATCH($E128,[1]DB!$D:$D,0))
        )
      ),
      IF(
        COUNTIFS($C$2:C128,C128,$E$2:E128,E128,$D$2:D128,D128)=1,
        INDEX([1]DB!$A:$A,MATCH($E128,[1]DB!$D:$D,0)),
        IF(
          COUNTIFS($C$2:C128,C128,$E$2:E128,E128,$D$2:D128,D128)=2,
          INDEX([1]DB!$B:$B,MATCH($E128,[1]DB!$D:$D,0)),
          INDEX([1]DB!$C:$C,MATCH($E128,[1]DB!$D:$D,0))
        )
      )
    )
  ),
  0
)</f>
        <v>0</v>
      </c>
      <c r="O128" s="20" t="str">
        <f t="shared" si="2"/>
        <v>Janvier</v>
      </c>
      <c r="P128" s="21" t="str">
        <f t="shared" ca="1" si="3"/>
        <v>NON</v>
      </c>
    </row>
    <row r="129" spans="1:16">
      <c r="A129" s="4"/>
      <c r="B129" s="5"/>
      <c r="C129" s="5"/>
      <c r="D129" s="6"/>
      <c r="E129" s="6"/>
      <c r="F129" s="7"/>
      <c r="G129" s="8" cm="1">
        <f t="array" ref="G129">IFERROR(
  IF(D129&lt;&gt;"Cédric",
     0,
     SUMPRODUCT(
       (TRIM(SUBSTITUTE(UPPER($B$2:$B129),CHAR(160),""))=TRIM(SUBSTITUTE(UPPER(B129),CHAR(160),"")))*
       (TRIM(SUBSTITUTE(UPPER($C$2:$C129),CHAR(160),""))=TRIM(SUBSTITUTE(UPPER(C129),CHAR(160),"")))*
       (TRIM(SUBSTITUTE(UPPER($D$2:$D129),CHAR(160),""))=TRIM(SUBSTITUTE(UPPER(D129),CHAR(160),"")))*
       (TRIM(SUBSTITUTE(UPPER($E$2:$E129),CHAR(160),""))=TRIM(SUBSTITUTE(UPPER(E129),CHAR(160),"")))
     )
  ),
  0
)</f>
        <v>0</v>
      </c>
      <c r="H129" s="8" cm="1">
        <f t="array" ref="H129">IFERROR(
  IF(D129&lt;&gt;"Geoffroy",
     0,
     SUMPRODUCT(
       (TRIM(SUBSTITUTE(UPPER($B$2:$B129),CHAR(160),""))=TRIM(SUBSTITUTE(UPPER(B129),CHAR(160),"")))*
       (TRIM(SUBSTITUTE(UPPER($C$2:$C129),CHAR(160),""))=TRIM(SUBSTITUTE(UPPER(C129),CHAR(160),"")))*
       (TRIM(SUBSTITUTE(UPPER($D$2:$D129),CHAR(160),""))=TRIM(SUBSTITUTE(UPPER(D129),CHAR(160),"")))*
       (TRIM(SUBSTITUTE(UPPER($E$2:$E129),CHAR(160),""))=TRIM(SUBSTITUTE(UPPER(E129),CHAR(160),"")))
     )
  ),
  0
)</f>
        <v>0</v>
      </c>
      <c r="I129" s="8" cm="1">
        <f t="array" ref="I129">IFERROR(
  IF(D129&lt;&gt;"Tiphaine",
     0,
     SUMPRODUCT(
       (TRIM(SUBSTITUTE(UPPER($B$2:$B129),CHAR(160),""))=TRIM(SUBSTITUTE(UPPER(B129),CHAR(160),"")))*
       (TRIM(SUBSTITUTE(UPPER($C$2:$C129),CHAR(160),""))=TRIM(SUBSTITUTE(UPPER(C129),CHAR(160),"")))*
       (TRIM(SUBSTITUTE(UPPER($D$2:$D129),CHAR(160),""))=TRIM(SUBSTITUTE(UPPER(D129),CHAR(160),"")))*
       (TRIM(SUBSTITUTE(UPPER($E$2:$E129),CHAR(160),""))=TRIM(SUBSTITUTE(UPPER(E129),CHAR(160),"")))
     )
  ),
  0
)</f>
        <v>0</v>
      </c>
      <c r="J129" s="8" cm="1">
        <f t="array" ref="J129">IFERROR(
  IF(D129&lt;&gt;"Catherine",
     0,
     SUMPRODUCT(
       (TRIM(SUBSTITUTE(UPPER($B$2:$B129),CHAR(160),""))=TRIM(SUBSTITUTE(UPPER(B129),CHAR(160),"")))*
       (TRIM(SUBSTITUTE(UPPER($C$2:$C129),CHAR(160),""))=TRIM(SUBSTITUTE(UPPER(C129),CHAR(160),"")))*
       (TRIM(SUBSTITUTE(UPPER($D$2:$D129),CHAR(160),""))=TRIM(SUBSTITUTE(UPPER(D129),CHAR(160),"")))*
       (TRIM(SUBSTITUTE(UPPER($E$2:$E129),CHAR(160),""))=TRIM(SUBSTITUTE(UPPER(E129),CHAR(160),"")))
     )
  ),
  0
)</f>
        <v>0</v>
      </c>
      <c r="K129" s="19">
        <f>IFERROR(
  IF(
    D129&lt;&gt;"Cédric",
    0,
    IF(
      C129="",
      IF(
        COUNTIFS($B$2:B129,B129,$E$2:E129,E129,$D$2:D129,D129)=1,
        INDEX([1]DB!$A:$A,MATCH($E129,[1]DB!$D:$D,0)),
        IF(
          COUNTIFS($B$2:B129,B129,$E$2:E129,E129,$D$2:D129,D129)=2,
          INDEX([1]DB!$B:$B,MATCH($E129,[1]DB!$D:$D,0)),
          INDEX([1]DB!$C:$C,MATCH($E129,[1]DB!$D:$D,0))
        )
      ),
      IF(
        COUNTIFS($C$2:C129,C129,$E$2:E129,E129,$D$2:D129,D129)=1,
        INDEX([1]DB!$A:$A,MATCH($E129,[1]DB!$D:$D,0)),
        IF(
          COUNTIFS($C$2:C129,C129,$E$2:E129,E129,$D$2:D129,D129)=2,
          INDEX([1]DB!$B:$B,MATCH($E129,[1]DB!$D:$D,0)),
          INDEX([1]DB!$C:$C,MATCH($E129,[1]DB!$D:$D,0))
        )
      )
    )
  ),
  0
)</f>
        <v>0</v>
      </c>
      <c r="L129" s="9">
        <f>IFERROR(
  IF(
    D129&lt;&gt;"Geoffroy",
    0,
    IF(
      C129="",
      IF(
        COUNTIFS($B$2:B129,B129,$E$2:E129,E129,$D$2:D129,D129)=1,
        INDEX([1]DB!$A:$A,MATCH($E129,[1]DB!$D:$D,0)),
        IF(
          COUNTIFS($B$2:B129,B129,$E$2:E129,E129,$D$2:D129,D129)=2,
          INDEX([1]DB!$B:$B,MATCH($E129,[1]DB!$D:$D,0)),
          INDEX([1]DB!$C:$C,MATCH($E129,[1]DB!$D:$D,0))
        )
      ),
      IF(
        COUNTIFS($C$2:C129,C129,$E$2:E129,E129,$D$2:D129,D129)=1,
        INDEX([1]DB!$A:$A,MATCH($E129,[1]DB!$D:$D,0)),
        IF(
          COUNTIFS($C$2:C129,C129,$E$2:E129,E129,$D$2:D129,D129)=2,
          INDEX([1]DB!$B:$B,MATCH($E129,[1]DB!$D:$D,0)),
          INDEX([1]DB!$C:$C,MATCH($E129,[1]DB!$D:$D,0))
        )
      )
    )
  ),
  0
)</f>
        <v>0</v>
      </c>
      <c r="M129" s="9">
        <f>IFERROR(
  IF(
    D129&lt;&gt;"Tiphaine",
    0,
    IF(
      C129="",
      IF(
        COUNTIFS($B$2:B129,B129,$E$2:E129,E129,$D$2:D129,D129)=1,
        INDEX([1]DB!$A:$A,MATCH($E129,[1]DB!$D:$D,0)),
        IF(
          COUNTIFS($B$2:B129,B129,$E$2:E129,E129,$D$2:D129,D129)=2,
          INDEX([1]DB!$B:$B,MATCH($E129,[1]DB!$D:$D,0)),
          INDEX([1]DB!$C:$C,MATCH($E129,[1]DB!$D:$D,0))
        )
      ),
      IF(
        COUNTIFS($C$2:C129,C129,$E$2:E129,E129,$D$2:D129,D129)=1,
        INDEX([1]DB!$A:$A,MATCH($E129,[1]DB!$D:$D,0)),
        IF(
          COUNTIFS($C$2:C129,C129,$E$2:E129,E129,$D$2:D129,D129)=2,
          INDEX([1]DB!$B:$B,MATCH($E129,[1]DB!$D:$D,0)),
          INDEX([1]DB!$C:$C,MATCH($E129,[1]DB!$D:$D,0))
        )
      )
    )
  ),
  0
)</f>
        <v>0</v>
      </c>
      <c r="N129" s="9">
        <f>IFERROR(
  IF(
    D129&lt;&gt;"Catherine",
    0,
    IF(
      C129="",
      IF(
        COUNTIFS($B$2:B129,B129,$E$2:E129,E129,$D$2:D129,D129)=1,
        INDEX([1]DB!$A:$A,MATCH($E129,[1]DB!$D:$D,0)),
        IF(
          COUNTIFS($B$2:B129,B129,$E$2:E129,E129,$D$2:D129,D129)=2,
          INDEX([1]DB!$B:$B,MATCH($E129,[1]DB!$D:$D,0)),
          INDEX([1]DB!$C:$C,MATCH($E129,[1]DB!$D:$D,0))
        )
      ),
      IF(
        COUNTIFS($C$2:C129,C129,$E$2:E129,E129,$D$2:D129,D129)=1,
        INDEX([1]DB!$A:$A,MATCH($E129,[1]DB!$D:$D,0)),
        IF(
          COUNTIFS($C$2:C129,C129,$E$2:E129,E129,$D$2:D129,D129)=2,
          INDEX([1]DB!$B:$B,MATCH($E129,[1]DB!$D:$D,0)),
          INDEX([1]DB!$C:$C,MATCH($E129,[1]DB!$D:$D,0))
        )
      )
    )
  ),
  0
)</f>
        <v>0</v>
      </c>
      <c r="O129" s="20" t="str">
        <f t="shared" si="2"/>
        <v>Janvier</v>
      </c>
      <c r="P129" s="21" t="str">
        <f t="shared" ca="1" si="3"/>
        <v>NON</v>
      </c>
    </row>
    <row r="130" spans="1:16">
      <c r="A130" s="4"/>
      <c r="B130" s="5"/>
      <c r="C130" s="5"/>
      <c r="D130" s="6"/>
      <c r="E130" s="6"/>
      <c r="F130" s="7"/>
      <c r="G130" s="8" cm="1">
        <f t="array" ref="G130">IFERROR(
  IF(D130&lt;&gt;"Cédric",
     0,
     SUMPRODUCT(
       (TRIM(SUBSTITUTE(UPPER($B$2:$B130),CHAR(160),""))=TRIM(SUBSTITUTE(UPPER(B130),CHAR(160),"")))*
       (TRIM(SUBSTITUTE(UPPER($C$2:$C130),CHAR(160),""))=TRIM(SUBSTITUTE(UPPER(C130),CHAR(160),"")))*
       (TRIM(SUBSTITUTE(UPPER($D$2:$D130),CHAR(160),""))=TRIM(SUBSTITUTE(UPPER(D130),CHAR(160),"")))*
       (TRIM(SUBSTITUTE(UPPER($E$2:$E130),CHAR(160),""))=TRIM(SUBSTITUTE(UPPER(E130),CHAR(160),"")))
     )
  ),
  0
)</f>
        <v>0</v>
      </c>
      <c r="H130" s="8" cm="1">
        <f t="array" ref="H130">IFERROR(
  IF(D130&lt;&gt;"Geoffroy",
     0,
     SUMPRODUCT(
       (TRIM(SUBSTITUTE(UPPER($B$2:$B130),CHAR(160),""))=TRIM(SUBSTITUTE(UPPER(B130),CHAR(160),"")))*
       (TRIM(SUBSTITUTE(UPPER($C$2:$C130),CHAR(160),""))=TRIM(SUBSTITUTE(UPPER(C130),CHAR(160),"")))*
       (TRIM(SUBSTITUTE(UPPER($D$2:$D130),CHAR(160),""))=TRIM(SUBSTITUTE(UPPER(D130),CHAR(160),"")))*
       (TRIM(SUBSTITUTE(UPPER($E$2:$E130),CHAR(160),""))=TRIM(SUBSTITUTE(UPPER(E130),CHAR(160),"")))
     )
  ),
  0
)</f>
        <v>0</v>
      </c>
      <c r="I130" s="8" cm="1">
        <f t="array" ref="I130">IFERROR(
  IF(D130&lt;&gt;"Tiphaine",
     0,
     SUMPRODUCT(
       (TRIM(SUBSTITUTE(UPPER($B$2:$B130),CHAR(160),""))=TRIM(SUBSTITUTE(UPPER(B130),CHAR(160),"")))*
       (TRIM(SUBSTITUTE(UPPER($C$2:$C130),CHAR(160),""))=TRIM(SUBSTITUTE(UPPER(C130),CHAR(160),"")))*
       (TRIM(SUBSTITUTE(UPPER($D$2:$D130),CHAR(160),""))=TRIM(SUBSTITUTE(UPPER(D130),CHAR(160),"")))*
       (TRIM(SUBSTITUTE(UPPER($E$2:$E130),CHAR(160),""))=TRIM(SUBSTITUTE(UPPER(E130),CHAR(160),"")))
     )
  ),
  0
)</f>
        <v>0</v>
      </c>
      <c r="J130" s="8" cm="1">
        <f t="array" ref="J130">IFERROR(
  IF(D130&lt;&gt;"Catherine",
     0,
     SUMPRODUCT(
       (TRIM(SUBSTITUTE(UPPER($B$2:$B130),CHAR(160),""))=TRIM(SUBSTITUTE(UPPER(B130),CHAR(160),"")))*
       (TRIM(SUBSTITUTE(UPPER($C$2:$C130),CHAR(160),""))=TRIM(SUBSTITUTE(UPPER(C130),CHAR(160),"")))*
       (TRIM(SUBSTITUTE(UPPER($D$2:$D130),CHAR(160),""))=TRIM(SUBSTITUTE(UPPER(D130),CHAR(160),"")))*
       (TRIM(SUBSTITUTE(UPPER($E$2:$E130),CHAR(160),""))=TRIM(SUBSTITUTE(UPPER(E130),CHAR(160),"")))
     )
  ),
  0
)</f>
        <v>0</v>
      </c>
      <c r="K130" s="19">
        <f>IFERROR(
  IF(
    D130&lt;&gt;"Cédric",
    0,
    IF(
      C130="",
      IF(
        COUNTIFS($B$2:B130,B130,$E$2:E130,E130,$D$2:D130,D130)=1,
        INDEX([1]DB!$A:$A,MATCH($E130,[1]DB!$D:$D,0)),
        IF(
          COUNTIFS($B$2:B130,B130,$E$2:E130,E130,$D$2:D130,D130)=2,
          INDEX([1]DB!$B:$B,MATCH($E130,[1]DB!$D:$D,0)),
          INDEX([1]DB!$C:$C,MATCH($E130,[1]DB!$D:$D,0))
        )
      ),
      IF(
        COUNTIFS($C$2:C130,C130,$E$2:E130,E130,$D$2:D130,D130)=1,
        INDEX([1]DB!$A:$A,MATCH($E130,[1]DB!$D:$D,0)),
        IF(
          COUNTIFS($C$2:C130,C130,$E$2:E130,E130,$D$2:D130,D130)=2,
          INDEX([1]DB!$B:$B,MATCH($E130,[1]DB!$D:$D,0)),
          INDEX([1]DB!$C:$C,MATCH($E130,[1]DB!$D:$D,0))
        )
      )
    )
  ),
  0
)</f>
        <v>0</v>
      </c>
      <c r="L130" s="9">
        <f>IFERROR(
  IF(
    D130&lt;&gt;"Geoffroy",
    0,
    IF(
      C130="",
      IF(
        COUNTIFS($B$2:B130,B130,$E$2:E130,E130,$D$2:D130,D130)=1,
        INDEX([1]DB!$A:$A,MATCH($E130,[1]DB!$D:$D,0)),
        IF(
          COUNTIFS($B$2:B130,B130,$E$2:E130,E130,$D$2:D130,D130)=2,
          INDEX([1]DB!$B:$B,MATCH($E130,[1]DB!$D:$D,0)),
          INDEX([1]DB!$C:$C,MATCH($E130,[1]DB!$D:$D,0))
        )
      ),
      IF(
        COUNTIFS($C$2:C130,C130,$E$2:E130,E130,$D$2:D130,D130)=1,
        INDEX([1]DB!$A:$A,MATCH($E130,[1]DB!$D:$D,0)),
        IF(
          COUNTIFS($C$2:C130,C130,$E$2:E130,E130,$D$2:D130,D130)=2,
          INDEX([1]DB!$B:$B,MATCH($E130,[1]DB!$D:$D,0)),
          INDEX([1]DB!$C:$C,MATCH($E130,[1]DB!$D:$D,0))
        )
      )
    )
  ),
  0
)</f>
        <v>0</v>
      </c>
      <c r="M130" s="9">
        <f>IFERROR(
  IF(
    D130&lt;&gt;"Tiphaine",
    0,
    IF(
      C130="",
      IF(
        COUNTIFS($B$2:B130,B130,$E$2:E130,E130,$D$2:D130,D130)=1,
        INDEX([1]DB!$A:$A,MATCH($E130,[1]DB!$D:$D,0)),
        IF(
          COUNTIFS($B$2:B130,B130,$E$2:E130,E130,$D$2:D130,D130)=2,
          INDEX([1]DB!$B:$B,MATCH($E130,[1]DB!$D:$D,0)),
          INDEX([1]DB!$C:$C,MATCH($E130,[1]DB!$D:$D,0))
        )
      ),
      IF(
        COUNTIFS($C$2:C130,C130,$E$2:E130,E130,$D$2:D130,D130)=1,
        INDEX([1]DB!$A:$A,MATCH($E130,[1]DB!$D:$D,0)),
        IF(
          COUNTIFS($C$2:C130,C130,$E$2:E130,E130,$D$2:D130,D130)=2,
          INDEX([1]DB!$B:$B,MATCH($E130,[1]DB!$D:$D,0)),
          INDEX([1]DB!$C:$C,MATCH($E130,[1]DB!$D:$D,0))
        )
      )
    )
  ),
  0
)</f>
        <v>0</v>
      </c>
      <c r="N130" s="9">
        <f>IFERROR(
  IF(
    D130&lt;&gt;"Catherine",
    0,
    IF(
      C130="",
      IF(
        COUNTIFS($B$2:B130,B130,$E$2:E130,E130,$D$2:D130,D130)=1,
        INDEX([1]DB!$A:$A,MATCH($E130,[1]DB!$D:$D,0)),
        IF(
          COUNTIFS($B$2:B130,B130,$E$2:E130,E130,$D$2:D130,D130)=2,
          INDEX([1]DB!$B:$B,MATCH($E130,[1]DB!$D:$D,0)),
          INDEX([1]DB!$C:$C,MATCH($E130,[1]DB!$D:$D,0))
        )
      ),
      IF(
        COUNTIFS($C$2:C130,C130,$E$2:E130,E130,$D$2:D130,D130)=1,
        INDEX([1]DB!$A:$A,MATCH($E130,[1]DB!$D:$D,0)),
        IF(
          COUNTIFS($C$2:C130,C130,$E$2:E130,E130,$D$2:D130,D130)=2,
          INDEX([1]DB!$B:$B,MATCH($E130,[1]DB!$D:$D,0)),
          INDEX([1]DB!$C:$C,MATCH($E130,[1]DB!$D:$D,0))
        )
      )
    )
  ),
  0
)</f>
        <v>0</v>
      </c>
      <c r="O130" s="20" t="str">
        <f t="shared" si="2"/>
        <v>Janvier</v>
      </c>
      <c r="P130" s="21" t="str">
        <f t="shared" ca="1" si="3"/>
        <v>NON</v>
      </c>
    </row>
    <row r="131" spans="1:16">
      <c r="A131" s="4"/>
      <c r="B131" s="5"/>
      <c r="C131" s="5"/>
      <c r="D131" s="6"/>
      <c r="E131" s="6"/>
      <c r="F131" s="7"/>
      <c r="G131" s="8" cm="1">
        <f t="array" ref="G131">IFERROR(
  IF(D131&lt;&gt;"Cédric",
     0,
     SUMPRODUCT(
       (TRIM(SUBSTITUTE(UPPER($B$2:$B131),CHAR(160),""))=TRIM(SUBSTITUTE(UPPER(B131),CHAR(160),"")))*
       (TRIM(SUBSTITUTE(UPPER($C$2:$C131),CHAR(160),""))=TRIM(SUBSTITUTE(UPPER(C131),CHAR(160),"")))*
       (TRIM(SUBSTITUTE(UPPER($D$2:$D131),CHAR(160),""))=TRIM(SUBSTITUTE(UPPER(D131),CHAR(160),"")))*
       (TRIM(SUBSTITUTE(UPPER($E$2:$E131),CHAR(160),""))=TRIM(SUBSTITUTE(UPPER(E131),CHAR(160),"")))
     )
  ),
  0
)</f>
        <v>0</v>
      </c>
      <c r="H131" s="8" cm="1">
        <f t="array" ref="H131">IFERROR(
  IF(D131&lt;&gt;"Geoffroy",
     0,
     SUMPRODUCT(
       (TRIM(SUBSTITUTE(UPPER($B$2:$B131),CHAR(160),""))=TRIM(SUBSTITUTE(UPPER(B131),CHAR(160),"")))*
       (TRIM(SUBSTITUTE(UPPER($C$2:$C131),CHAR(160),""))=TRIM(SUBSTITUTE(UPPER(C131),CHAR(160),"")))*
       (TRIM(SUBSTITUTE(UPPER($D$2:$D131),CHAR(160),""))=TRIM(SUBSTITUTE(UPPER(D131),CHAR(160),"")))*
       (TRIM(SUBSTITUTE(UPPER($E$2:$E131),CHAR(160),""))=TRIM(SUBSTITUTE(UPPER(E131),CHAR(160),"")))
     )
  ),
  0
)</f>
        <v>0</v>
      </c>
      <c r="I131" s="8" cm="1">
        <f t="array" ref="I131">IFERROR(
  IF(D131&lt;&gt;"Tiphaine",
     0,
     SUMPRODUCT(
       (TRIM(SUBSTITUTE(UPPER($B$2:$B131),CHAR(160),""))=TRIM(SUBSTITUTE(UPPER(B131),CHAR(160),"")))*
       (TRIM(SUBSTITUTE(UPPER($C$2:$C131),CHAR(160),""))=TRIM(SUBSTITUTE(UPPER(C131),CHAR(160),"")))*
       (TRIM(SUBSTITUTE(UPPER($D$2:$D131),CHAR(160),""))=TRIM(SUBSTITUTE(UPPER(D131),CHAR(160),"")))*
       (TRIM(SUBSTITUTE(UPPER($E$2:$E131),CHAR(160),""))=TRIM(SUBSTITUTE(UPPER(E131),CHAR(160),"")))
     )
  ),
  0
)</f>
        <v>0</v>
      </c>
      <c r="J131" s="8" cm="1">
        <f t="array" ref="J131">IFERROR(
  IF(D131&lt;&gt;"Catherine",
     0,
     SUMPRODUCT(
       (TRIM(SUBSTITUTE(UPPER($B$2:$B131),CHAR(160),""))=TRIM(SUBSTITUTE(UPPER(B131),CHAR(160),"")))*
       (TRIM(SUBSTITUTE(UPPER($C$2:$C131),CHAR(160),""))=TRIM(SUBSTITUTE(UPPER(C131),CHAR(160),"")))*
       (TRIM(SUBSTITUTE(UPPER($D$2:$D131),CHAR(160),""))=TRIM(SUBSTITUTE(UPPER(D131),CHAR(160),"")))*
       (TRIM(SUBSTITUTE(UPPER($E$2:$E131),CHAR(160),""))=TRIM(SUBSTITUTE(UPPER(E131),CHAR(160),"")))
     )
  ),
  0
)</f>
        <v>0</v>
      </c>
      <c r="K131" s="19">
        <f>IFERROR(
  IF(
    D131&lt;&gt;"Cédric",
    0,
    IF(
      C131="",
      IF(
        COUNTIFS($B$2:B131,B131,$E$2:E131,E131,$D$2:D131,D131)=1,
        INDEX([1]DB!$A:$A,MATCH($E131,[1]DB!$D:$D,0)),
        IF(
          COUNTIFS($B$2:B131,B131,$E$2:E131,E131,$D$2:D131,D131)=2,
          INDEX([1]DB!$B:$B,MATCH($E131,[1]DB!$D:$D,0)),
          INDEX([1]DB!$C:$C,MATCH($E131,[1]DB!$D:$D,0))
        )
      ),
      IF(
        COUNTIFS($C$2:C131,C131,$E$2:E131,E131,$D$2:D131,D131)=1,
        INDEX([1]DB!$A:$A,MATCH($E131,[1]DB!$D:$D,0)),
        IF(
          COUNTIFS($C$2:C131,C131,$E$2:E131,E131,$D$2:D131,D131)=2,
          INDEX([1]DB!$B:$B,MATCH($E131,[1]DB!$D:$D,0)),
          INDEX([1]DB!$C:$C,MATCH($E131,[1]DB!$D:$D,0))
        )
      )
    )
  ),
  0
)</f>
        <v>0</v>
      </c>
      <c r="L131" s="9">
        <f>IFERROR(
  IF(
    D131&lt;&gt;"Geoffroy",
    0,
    IF(
      C131="",
      IF(
        COUNTIFS($B$2:B131,B131,$E$2:E131,E131,$D$2:D131,D131)=1,
        INDEX([1]DB!$A:$A,MATCH($E131,[1]DB!$D:$D,0)),
        IF(
          COUNTIFS($B$2:B131,B131,$E$2:E131,E131,$D$2:D131,D131)=2,
          INDEX([1]DB!$B:$B,MATCH($E131,[1]DB!$D:$D,0)),
          INDEX([1]DB!$C:$C,MATCH($E131,[1]DB!$D:$D,0))
        )
      ),
      IF(
        COUNTIFS($C$2:C131,C131,$E$2:E131,E131,$D$2:D131,D131)=1,
        INDEX([1]DB!$A:$A,MATCH($E131,[1]DB!$D:$D,0)),
        IF(
          COUNTIFS($C$2:C131,C131,$E$2:E131,E131,$D$2:D131,D131)=2,
          INDEX([1]DB!$B:$B,MATCH($E131,[1]DB!$D:$D,0)),
          INDEX([1]DB!$C:$C,MATCH($E131,[1]DB!$D:$D,0))
        )
      )
    )
  ),
  0
)</f>
        <v>0</v>
      </c>
      <c r="M131" s="9">
        <f>IFERROR(
  IF(
    D131&lt;&gt;"Tiphaine",
    0,
    IF(
      C131="",
      IF(
        COUNTIFS($B$2:B131,B131,$E$2:E131,E131,$D$2:D131,D131)=1,
        INDEX([1]DB!$A:$A,MATCH($E131,[1]DB!$D:$D,0)),
        IF(
          COUNTIFS($B$2:B131,B131,$E$2:E131,E131,$D$2:D131,D131)=2,
          INDEX([1]DB!$B:$B,MATCH($E131,[1]DB!$D:$D,0)),
          INDEX([1]DB!$C:$C,MATCH($E131,[1]DB!$D:$D,0))
        )
      ),
      IF(
        COUNTIFS($C$2:C131,C131,$E$2:E131,E131,$D$2:D131,D131)=1,
        INDEX([1]DB!$A:$A,MATCH($E131,[1]DB!$D:$D,0)),
        IF(
          COUNTIFS($C$2:C131,C131,$E$2:E131,E131,$D$2:D131,D131)=2,
          INDEX([1]DB!$B:$B,MATCH($E131,[1]DB!$D:$D,0)),
          INDEX([1]DB!$C:$C,MATCH($E131,[1]DB!$D:$D,0))
        )
      )
    )
  ),
  0
)</f>
        <v>0</v>
      </c>
      <c r="N131" s="9">
        <f>IFERROR(
  IF(
    D131&lt;&gt;"Catherine",
    0,
    IF(
      C131="",
      IF(
        COUNTIFS($B$2:B131,B131,$E$2:E131,E131,$D$2:D131,D131)=1,
        INDEX([1]DB!$A:$A,MATCH($E131,[1]DB!$D:$D,0)),
        IF(
          COUNTIFS($B$2:B131,B131,$E$2:E131,E131,$D$2:D131,D131)=2,
          INDEX([1]DB!$B:$B,MATCH($E131,[1]DB!$D:$D,0)),
          INDEX([1]DB!$C:$C,MATCH($E131,[1]DB!$D:$D,0))
        )
      ),
      IF(
        COUNTIFS($C$2:C131,C131,$E$2:E131,E131,$D$2:D131,D131)=1,
        INDEX([1]DB!$A:$A,MATCH($E131,[1]DB!$D:$D,0)),
        IF(
          COUNTIFS($C$2:C131,C131,$E$2:E131,E131,$D$2:D131,D131)=2,
          INDEX([1]DB!$B:$B,MATCH($E131,[1]DB!$D:$D,0)),
          INDEX([1]DB!$C:$C,MATCH($E131,[1]DB!$D:$D,0))
        )
      )
    )
  ),
  0
)</f>
        <v>0</v>
      </c>
      <c r="O131" s="20" t="str">
        <f t="shared" si="2"/>
        <v>Janvier</v>
      </c>
      <c r="P131" s="21" t="str">
        <f t="shared" ca="1" si="3"/>
        <v>NON</v>
      </c>
    </row>
    <row r="132" spans="1:16">
      <c r="A132" s="4"/>
      <c r="B132" s="5"/>
      <c r="C132" s="5"/>
      <c r="D132" s="6"/>
      <c r="E132" s="6"/>
      <c r="F132" s="7"/>
      <c r="G132" s="8" cm="1">
        <f t="array" ref="G132">IFERROR(
  IF(D132&lt;&gt;"Cédric",
     0,
     SUMPRODUCT(
       (TRIM(SUBSTITUTE(UPPER($B$2:$B132),CHAR(160),""))=TRIM(SUBSTITUTE(UPPER(B132),CHAR(160),"")))*
       (TRIM(SUBSTITUTE(UPPER($C$2:$C132),CHAR(160),""))=TRIM(SUBSTITUTE(UPPER(C132),CHAR(160),"")))*
       (TRIM(SUBSTITUTE(UPPER($D$2:$D132),CHAR(160),""))=TRIM(SUBSTITUTE(UPPER(D132),CHAR(160),"")))*
       (TRIM(SUBSTITUTE(UPPER($E$2:$E132),CHAR(160),""))=TRIM(SUBSTITUTE(UPPER(E132),CHAR(160),"")))
     )
  ),
  0
)</f>
        <v>0</v>
      </c>
      <c r="H132" s="8" cm="1">
        <f t="array" ref="H132">IFERROR(
  IF(D132&lt;&gt;"Geoffroy",
     0,
     SUMPRODUCT(
       (TRIM(SUBSTITUTE(UPPER($B$2:$B132),CHAR(160),""))=TRIM(SUBSTITUTE(UPPER(B132),CHAR(160),"")))*
       (TRIM(SUBSTITUTE(UPPER($C$2:$C132),CHAR(160),""))=TRIM(SUBSTITUTE(UPPER(C132),CHAR(160),"")))*
       (TRIM(SUBSTITUTE(UPPER($D$2:$D132),CHAR(160),""))=TRIM(SUBSTITUTE(UPPER(D132),CHAR(160),"")))*
       (TRIM(SUBSTITUTE(UPPER($E$2:$E132),CHAR(160),""))=TRIM(SUBSTITUTE(UPPER(E132),CHAR(160),"")))
     )
  ),
  0
)</f>
        <v>0</v>
      </c>
      <c r="I132" s="8" cm="1">
        <f t="array" ref="I132">IFERROR(
  IF(D132&lt;&gt;"Tiphaine",
     0,
     SUMPRODUCT(
       (TRIM(SUBSTITUTE(UPPER($B$2:$B132),CHAR(160),""))=TRIM(SUBSTITUTE(UPPER(B132),CHAR(160),"")))*
       (TRIM(SUBSTITUTE(UPPER($C$2:$C132),CHAR(160),""))=TRIM(SUBSTITUTE(UPPER(C132),CHAR(160),"")))*
       (TRIM(SUBSTITUTE(UPPER($D$2:$D132),CHAR(160),""))=TRIM(SUBSTITUTE(UPPER(D132),CHAR(160),"")))*
       (TRIM(SUBSTITUTE(UPPER($E$2:$E132),CHAR(160),""))=TRIM(SUBSTITUTE(UPPER(E132),CHAR(160),"")))
     )
  ),
  0
)</f>
        <v>0</v>
      </c>
      <c r="J132" s="8" cm="1">
        <f t="array" ref="J132">IFERROR(
  IF(D132&lt;&gt;"Catherine",
     0,
     SUMPRODUCT(
       (TRIM(SUBSTITUTE(UPPER($B$2:$B132),CHAR(160),""))=TRIM(SUBSTITUTE(UPPER(B132),CHAR(160),"")))*
       (TRIM(SUBSTITUTE(UPPER($C$2:$C132),CHAR(160),""))=TRIM(SUBSTITUTE(UPPER(C132),CHAR(160),"")))*
       (TRIM(SUBSTITUTE(UPPER($D$2:$D132),CHAR(160),""))=TRIM(SUBSTITUTE(UPPER(D132),CHAR(160),"")))*
       (TRIM(SUBSTITUTE(UPPER($E$2:$E132),CHAR(160),""))=TRIM(SUBSTITUTE(UPPER(E132),CHAR(160),"")))
     )
  ),
  0
)</f>
        <v>0</v>
      </c>
      <c r="K132" s="19">
        <f>IFERROR(
  IF(
    D132&lt;&gt;"Cédric",
    0,
    IF(
      C132="",
      IF(
        COUNTIFS($B$2:B132,B132,$E$2:E132,E132,$D$2:D132,D132)=1,
        INDEX([1]DB!$A:$A,MATCH($E132,[1]DB!$D:$D,0)),
        IF(
          COUNTIFS($B$2:B132,B132,$E$2:E132,E132,$D$2:D132,D132)=2,
          INDEX([1]DB!$B:$B,MATCH($E132,[1]DB!$D:$D,0)),
          INDEX([1]DB!$C:$C,MATCH($E132,[1]DB!$D:$D,0))
        )
      ),
      IF(
        COUNTIFS($C$2:C132,C132,$E$2:E132,E132,$D$2:D132,D132)=1,
        INDEX([1]DB!$A:$A,MATCH($E132,[1]DB!$D:$D,0)),
        IF(
          COUNTIFS($C$2:C132,C132,$E$2:E132,E132,$D$2:D132,D132)=2,
          INDEX([1]DB!$B:$B,MATCH($E132,[1]DB!$D:$D,0)),
          INDEX([1]DB!$C:$C,MATCH($E132,[1]DB!$D:$D,0))
        )
      )
    )
  ),
  0
)</f>
        <v>0</v>
      </c>
      <c r="L132" s="9">
        <f>IFERROR(
  IF(
    D132&lt;&gt;"Geoffroy",
    0,
    IF(
      C132="",
      IF(
        COUNTIFS($B$2:B132,B132,$E$2:E132,E132,$D$2:D132,D132)=1,
        INDEX([1]DB!$A:$A,MATCH($E132,[1]DB!$D:$D,0)),
        IF(
          COUNTIFS($B$2:B132,B132,$E$2:E132,E132,$D$2:D132,D132)=2,
          INDEX([1]DB!$B:$B,MATCH($E132,[1]DB!$D:$D,0)),
          INDEX([1]DB!$C:$C,MATCH($E132,[1]DB!$D:$D,0))
        )
      ),
      IF(
        COUNTIFS($C$2:C132,C132,$E$2:E132,E132,$D$2:D132,D132)=1,
        INDEX([1]DB!$A:$A,MATCH($E132,[1]DB!$D:$D,0)),
        IF(
          COUNTIFS($C$2:C132,C132,$E$2:E132,E132,$D$2:D132,D132)=2,
          INDEX([1]DB!$B:$B,MATCH($E132,[1]DB!$D:$D,0)),
          INDEX([1]DB!$C:$C,MATCH($E132,[1]DB!$D:$D,0))
        )
      )
    )
  ),
  0
)</f>
        <v>0</v>
      </c>
      <c r="M132" s="9">
        <f>IFERROR(
  IF(
    D132&lt;&gt;"Tiphaine",
    0,
    IF(
      C132="",
      IF(
        COUNTIFS($B$2:B132,B132,$E$2:E132,E132,$D$2:D132,D132)=1,
        INDEX([1]DB!$A:$A,MATCH($E132,[1]DB!$D:$D,0)),
        IF(
          COUNTIFS($B$2:B132,B132,$E$2:E132,E132,$D$2:D132,D132)=2,
          INDEX([1]DB!$B:$B,MATCH($E132,[1]DB!$D:$D,0)),
          INDEX([1]DB!$C:$C,MATCH($E132,[1]DB!$D:$D,0))
        )
      ),
      IF(
        COUNTIFS($C$2:C132,C132,$E$2:E132,E132,$D$2:D132,D132)=1,
        INDEX([1]DB!$A:$A,MATCH($E132,[1]DB!$D:$D,0)),
        IF(
          COUNTIFS($C$2:C132,C132,$E$2:E132,E132,$D$2:D132,D132)=2,
          INDEX([1]DB!$B:$B,MATCH($E132,[1]DB!$D:$D,0)),
          INDEX([1]DB!$C:$C,MATCH($E132,[1]DB!$D:$D,0))
        )
      )
    )
  ),
  0
)</f>
        <v>0</v>
      </c>
      <c r="N132" s="9">
        <f>IFERROR(
  IF(
    D132&lt;&gt;"Catherine",
    0,
    IF(
      C132="",
      IF(
        COUNTIFS($B$2:B132,B132,$E$2:E132,E132,$D$2:D132,D132)=1,
        INDEX([1]DB!$A:$A,MATCH($E132,[1]DB!$D:$D,0)),
        IF(
          COUNTIFS($B$2:B132,B132,$E$2:E132,E132,$D$2:D132,D132)=2,
          INDEX([1]DB!$B:$B,MATCH($E132,[1]DB!$D:$D,0)),
          INDEX([1]DB!$C:$C,MATCH($E132,[1]DB!$D:$D,0))
        )
      ),
      IF(
        COUNTIFS($C$2:C132,C132,$E$2:E132,E132,$D$2:D132,D132)=1,
        INDEX([1]DB!$A:$A,MATCH($E132,[1]DB!$D:$D,0)),
        IF(
          COUNTIFS($C$2:C132,C132,$E$2:E132,E132,$D$2:D132,D132)=2,
          INDEX([1]DB!$B:$B,MATCH($E132,[1]DB!$D:$D,0)),
          INDEX([1]DB!$C:$C,MATCH($E132,[1]DB!$D:$D,0))
        )
      )
    )
  ),
  0
)</f>
        <v>0</v>
      </c>
      <c r="O132" s="20" t="str">
        <f t="shared" si="2"/>
        <v>Janvier</v>
      </c>
      <c r="P132" s="21" t="str">
        <f t="shared" ca="1" si="3"/>
        <v>NON</v>
      </c>
    </row>
    <row r="133" spans="1:16">
      <c r="A133" s="4"/>
      <c r="B133" s="5"/>
      <c r="C133" s="5"/>
      <c r="D133" s="6"/>
      <c r="E133" s="6"/>
      <c r="F133" s="7"/>
      <c r="G133" s="8" cm="1">
        <f t="array" ref="G133">IFERROR(
  IF(D133&lt;&gt;"Cédric",
     0,
     SUMPRODUCT(
       (TRIM(SUBSTITUTE(UPPER($B$2:$B133),CHAR(160),""))=TRIM(SUBSTITUTE(UPPER(B133),CHAR(160),"")))*
       (TRIM(SUBSTITUTE(UPPER($C$2:$C133),CHAR(160),""))=TRIM(SUBSTITUTE(UPPER(C133),CHAR(160),"")))*
       (TRIM(SUBSTITUTE(UPPER($D$2:$D133),CHAR(160),""))=TRIM(SUBSTITUTE(UPPER(D133),CHAR(160),"")))*
       (TRIM(SUBSTITUTE(UPPER($E$2:$E133),CHAR(160),""))=TRIM(SUBSTITUTE(UPPER(E133),CHAR(160),"")))
     )
  ),
  0
)</f>
        <v>0</v>
      </c>
      <c r="H133" s="8" cm="1">
        <f t="array" ref="H133">IFERROR(
  IF(D133&lt;&gt;"Geoffroy",
     0,
     SUMPRODUCT(
       (TRIM(SUBSTITUTE(UPPER($B$2:$B133),CHAR(160),""))=TRIM(SUBSTITUTE(UPPER(B133),CHAR(160),"")))*
       (TRIM(SUBSTITUTE(UPPER($C$2:$C133),CHAR(160),""))=TRIM(SUBSTITUTE(UPPER(C133),CHAR(160),"")))*
       (TRIM(SUBSTITUTE(UPPER($D$2:$D133),CHAR(160),""))=TRIM(SUBSTITUTE(UPPER(D133),CHAR(160),"")))*
       (TRIM(SUBSTITUTE(UPPER($E$2:$E133),CHAR(160),""))=TRIM(SUBSTITUTE(UPPER(E133),CHAR(160),"")))
     )
  ),
  0
)</f>
        <v>0</v>
      </c>
      <c r="I133" s="8" cm="1">
        <f t="array" ref="I133">IFERROR(
  IF(D133&lt;&gt;"Tiphaine",
     0,
     SUMPRODUCT(
       (TRIM(SUBSTITUTE(UPPER($B$2:$B133),CHAR(160),""))=TRIM(SUBSTITUTE(UPPER(B133),CHAR(160),"")))*
       (TRIM(SUBSTITUTE(UPPER($C$2:$C133),CHAR(160),""))=TRIM(SUBSTITUTE(UPPER(C133),CHAR(160),"")))*
       (TRIM(SUBSTITUTE(UPPER($D$2:$D133),CHAR(160),""))=TRIM(SUBSTITUTE(UPPER(D133),CHAR(160),"")))*
       (TRIM(SUBSTITUTE(UPPER($E$2:$E133),CHAR(160),""))=TRIM(SUBSTITUTE(UPPER(E133),CHAR(160),"")))
     )
  ),
  0
)</f>
        <v>0</v>
      </c>
      <c r="J133" s="8" cm="1">
        <f t="array" ref="J133">IFERROR(
  IF(D133&lt;&gt;"Catherine",
     0,
     SUMPRODUCT(
       (TRIM(SUBSTITUTE(UPPER($B$2:$B133),CHAR(160),""))=TRIM(SUBSTITUTE(UPPER(B133),CHAR(160),"")))*
       (TRIM(SUBSTITUTE(UPPER($C$2:$C133),CHAR(160),""))=TRIM(SUBSTITUTE(UPPER(C133),CHAR(160),"")))*
       (TRIM(SUBSTITUTE(UPPER($D$2:$D133),CHAR(160),""))=TRIM(SUBSTITUTE(UPPER(D133),CHAR(160),"")))*
       (TRIM(SUBSTITUTE(UPPER($E$2:$E133),CHAR(160),""))=TRIM(SUBSTITUTE(UPPER(E133),CHAR(160),"")))
     )
  ),
  0
)</f>
        <v>0</v>
      </c>
      <c r="K133" s="19">
        <f>IFERROR(
  IF(
    D133&lt;&gt;"Cédric",
    0,
    IF(
      C133="",
      IF(
        COUNTIFS($B$2:B133,B133,$E$2:E133,E133,$D$2:D133,D133)=1,
        INDEX([1]DB!$A:$A,MATCH($E133,[1]DB!$D:$D,0)),
        IF(
          COUNTIFS($B$2:B133,B133,$E$2:E133,E133,$D$2:D133,D133)=2,
          INDEX([1]DB!$B:$B,MATCH($E133,[1]DB!$D:$D,0)),
          INDEX([1]DB!$C:$C,MATCH($E133,[1]DB!$D:$D,0))
        )
      ),
      IF(
        COUNTIFS($C$2:C133,C133,$E$2:E133,E133,$D$2:D133,D133)=1,
        INDEX([1]DB!$A:$A,MATCH($E133,[1]DB!$D:$D,0)),
        IF(
          COUNTIFS($C$2:C133,C133,$E$2:E133,E133,$D$2:D133,D133)=2,
          INDEX([1]DB!$B:$B,MATCH($E133,[1]DB!$D:$D,0)),
          INDEX([1]DB!$C:$C,MATCH($E133,[1]DB!$D:$D,0))
        )
      )
    )
  ),
  0
)</f>
        <v>0</v>
      </c>
      <c r="L133" s="9">
        <f>IFERROR(
  IF(
    D133&lt;&gt;"Geoffroy",
    0,
    IF(
      C133="",
      IF(
        COUNTIFS($B$2:B133,B133,$E$2:E133,E133,$D$2:D133,D133)=1,
        INDEX([1]DB!$A:$A,MATCH($E133,[1]DB!$D:$D,0)),
        IF(
          COUNTIFS($B$2:B133,B133,$E$2:E133,E133,$D$2:D133,D133)=2,
          INDEX([1]DB!$B:$B,MATCH($E133,[1]DB!$D:$D,0)),
          INDEX([1]DB!$C:$C,MATCH($E133,[1]DB!$D:$D,0))
        )
      ),
      IF(
        COUNTIFS($C$2:C133,C133,$E$2:E133,E133,$D$2:D133,D133)=1,
        INDEX([1]DB!$A:$A,MATCH($E133,[1]DB!$D:$D,0)),
        IF(
          COUNTIFS($C$2:C133,C133,$E$2:E133,E133,$D$2:D133,D133)=2,
          INDEX([1]DB!$B:$B,MATCH($E133,[1]DB!$D:$D,0)),
          INDEX([1]DB!$C:$C,MATCH($E133,[1]DB!$D:$D,0))
        )
      )
    )
  ),
  0
)</f>
        <v>0</v>
      </c>
      <c r="M133" s="9">
        <f>IFERROR(
  IF(
    D133&lt;&gt;"Tiphaine",
    0,
    IF(
      C133="",
      IF(
        COUNTIFS($B$2:B133,B133,$E$2:E133,E133,$D$2:D133,D133)=1,
        INDEX([1]DB!$A:$A,MATCH($E133,[1]DB!$D:$D,0)),
        IF(
          COUNTIFS($B$2:B133,B133,$E$2:E133,E133,$D$2:D133,D133)=2,
          INDEX([1]DB!$B:$B,MATCH($E133,[1]DB!$D:$D,0)),
          INDEX([1]DB!$C:$C,MATCH($E133,[1]DB!$D:$D,0))
        )
      ),
      IF(
        COUNTIFS($C$2:C133,C133,$E$2:E133,E133,$D$2:D133,D133)=1,
        INDEX([1]DB!$A:$A,MATCH($E133,[1]DB!$D:$D,0)),
        IF(
          COUNTIFS($C$2:C133,C133,$E$2:E133,E133,$D$2:D133,D133)=2,
          INDEX([1]DB!$B:$B,MATCH($E133,[1]DB!$D:$D,0)),
          INDEX([1]DB!$C:$C,MATCH($E133,[1]DB!$D:$D,0))
        )
      )
    )
  ),
  0
)</f>
        <v>0</v>
      </c>
      <c r="N133" s="9">
        <f>IFERROR(
  IF(
    D133&lt;&gt;"Catherine",
    0,
    IF(
      C133="",
      IF(
        COUNTIFS($B$2:B133,B133,$E$2:E133,E133,$D$2:D133,D133)=1,
        INDEX([1]DB!$A:$A,MATCH($E133,[1]DB!$D:$D,0)),
        IF(
          COUNTIFS($B$2:B133,B133,$E$2:E133,E133,$D$2:D133,D133)=2,
          INDEX([1]DB!$B:$B,MATCH($E133,[1]DB!$D:$D,0)),
          INDEX([1]DB!$C:$C,MATCH($E133,[1]DB!$D:$D,0))
        )
      ),
      IF(
        COUNTIFS($C$2:C133,C133,$E$2:E133,E133,$D$2:D133,D133)=1,
        INDEX([1]DB!$A:$A,MATCH($E133,[1]DB!$D:$D,0)),
        IF(
          COUNTIFS($C$2:C133,C133,$E$2:E133,E133,$D$2:D133,D133)=2,
          INDEX([1]DB!$B:$B,MATCH($E133,[1]DB!$D:$D,0)),
          INDEX([1]DB!$C:$C,MATCH($E133,[1]DB!$D:$D,0))
        )
      )
    )
  ),
  0
)</f>
        <v>0</v>
      </c>
      <c r="O133" s="20" t="str">
        <f t="shared" si="2"/>
        <v>Janvier</v>
      </c>
      <c r="P133" s="21" t="str">
        <f t="shared" ca="1" si="3"/>
        <v>NON</v>
      </c>
    </row>
    <row r="134" spans="1:16">
      <c r="A134" s="4"/>
      <c r="B134" s="5"/>
      <c r="C134" s="5"/>
      <c r="D134" s="6"/>
      <c r="E134" s="6"/>
      <c r="F134" s="7"/>
      <c r="G134" s="8" cm="1">
        <f t="array" ref="G134">IFERROR(
  IF(D134&lt;&gt;"Cédric",
     0,
     SUMPRODUCT(
       (TRIM(SUBSTITUTE(UPPER($B$2:$B134),CHAR(160),""))=TRIM(SUBSTITUTE(UPPER(B134),CHAR(160),"")))*
       (TRIM(SUBSTITUTE(UPPER($C$2:$C134),CHAR(160),""))=TRIM(SUBSTITUTE(UPPER(C134),CHAR(160),"")))*
       (TRIM(SUBSTITUTE(UPPER($D$2:$D134),CHAR(160),""))=TRIM(SUBSTITUTE(UPPER(D134),CHAR(160),"")))*
       (TRIM(SUBSTITUTE(UPPER($E$2:$E134),CHAR(160),""))=TRIM(SUBSTITUTE(UPPER(E134),CHAR(160),"")))
     )
  ),
  0
)</f>
        <v>0</v>
      </c>
      <c r="H134" s="8" cm="1">
        <f t="array" ref="H134">IFERROR(
  IF(D134&lt;&gt;"Geoffroy",
     0,
     SUMPRODUCT(
       (TRIM(SUBSTITUTE(UPPER($B$2:$B134),CHAR(160),""))=TRIM(SUBSTITUTE(UPPER(B134),CHAR(160),"")))*
       (TRIM(SUBSTITUTE(UPPER($C$2:$C134),CHAR(160),""))=TRIM(SUBSTITUTE(UPPER(C134),CHAR(160),"")))*
       (TRIM(SUBSTITUTE(UPPER($D$2:$D134),CHAR(160),""))=TRIM(SUBSTITUTE(UPPER(D134),CHAR(160),"")))*
       (TRIM(SUBSTITUTE(UPPER($E$2:$E134),CHAR(160),""))=TRIM(SUBSTITUTE(UPPER(E134),CHAR(160),"")))
     )
  ),
  0
)</f>
        <v>0</v>
      </c>
      <c r="I134" s="8" cm="1">
        <f t="array" ref="I134">IFERROR(
  IF(D134&lt;&gt;"Tiphaine",
     0,
     SUMPRODUCT(
       (TRIM(SUBSTITUTE(UPPER($B$2:$B134),CHAR(160),""))=TRIM(SUBSTITUTE(UPPER(B134),CHAR(160),"")))*
       (TRIM(SUBSTITUTE(UPPER($C$2:$C134),CHAR(160),""))=TRIM(SUBSTITUTE(UPPER(C134),CHAR(160),"")))*
       (TRIM(SUBSTITUTE(UPPER($D$2:$D134),CHAR(160),""))=TRIM(SUBSTITUTE(UPPER(D134),CHAR(160),"")))*
       (TRIM(SUBSTITUTE(UPPER($E$2:$E134),CHAR(160),""))=TRIM(SUBSTITUTE(UPPER(E134),CHAR(160),"")))
     )
  ),
  0
)</f>
        <v>0</v>
      </c>
      <c r="J134" s="8" cm="1">
        <f t="array" ref="J134">IFERROR(
  IF(D134&lt;&gt;"Catherine",
     0,
     SUMPRODUCT(
       (TRIM(SUBSTITUTE(UPPER($B$2:$B134),CHAR(160),""))=TRIM(SUBSTITUTE(UPPER(B134),CHAR(160),"")))*
       (TRIM(SUBSTITUTE(UPPER($C$2:$C134),CHAR(160),""))=TRIM(SUBSTITUTE(UPPER(C134),CHAR(160),"")))*
       (TRIM(SUBSTITUTE(UPPER($D$2:$D134),CHAR(160),""))=TRIM(SUBSTITUTE(UPPER(D134),CHAR(160),"")))*
       (TRIM(SUBSTITUTE(UPPER($E$2:$E134),CHAR(160),""))=TRIM(SUBSTITUTE(UPPER(E134),CHAR(160),"")))
     )
  ),
  0
)</f>
        <v>0</v>
      </c>
      <c r="K134" s="19">
        <f>IFERROR(
  IF(
    D134&lt;&gt;"Cédric",
    0,
    IF(
      C134="",
      IF(
        COUNTIFS($B$2:B134,B134,$E$2:E134,E134,$D$2:D134,D134)=1,
        INDEX([1]DB!$A:$A,MATCH($E134,[1]DB!$D:$D,0)),
        IF(
          COUNTIFS($B$2:B134,B134,$E$2:E134,E134,$D$2:D134,D134)=2,
          INDEX([1]DB!$B:$B,MATCH($E134,[1]DB!$D:$D,0)),
          INDEX([1]DB!$C:$C,MATCH($E134,[1]DB!$D:$D,0))
        )
      ),
      IF(
        COUNTIFS($C$2:C134,C134,$E$2:E134,E134,$D$2:D134,D134)=1,
        INDEX([1]DB!$A:$A,MATCH($E134,[1]DB!$D:$D,0)),
        IF(
          COUNTIFS($C$2:C134,C134,$E$2:E134,E134,$D$2:D134,D134)=2,
          INDEX([1]DB!$B:$B,MATCH($E134,[1]DB!$D:$D,0)),
          INDEX([1]DB!$C:$C,MATCH($E134,[1]DB!$D:$D,0))
        )
      )
    )
  ),
  0
)</f>
        <v>0</v>
      </c>
      <c r="L134" s="9">
        <f>IFERROR(
  IF(
    D134&lt;&gt;"Geoffroy",
    0,
    IF(
      C134="",
      IF(
        COUNTIFS($B$2:B134,B134,$E$2:E134,E134,$D$2:D134,D134)=1,
        INDEX([1]DB!$A:$A,MATCH($E134,[1]DB!$D:$D,0)),
        IF(
          COUNTIFS($B$2:B134,B134,$E$2:E134,E134,$D$2:D134,D134)=2,
          INDEX([1]DB!$B:$B,MATCH($E134,[1]DB!$D:$D,0)),
          INDEX([1]DB!$C:$C,MATCH($E134,[1]DB!$D:$D,0))
        )
      ),
      IF(
        COUNTIFS($C$2:C134,C134,$E$2:E134,E134,$D$2:D134,D134)=1,
        INDEX([1]DB!$A:$A,MATCH($E134,[1]DB!$D:$D,0)),
        IF(
          COUNTIFS($C$2:C134,C134,$E$2:E134,E134,$D$2:D134,D134)=2,
          INDEX([1]DB!$B:$B,MATCH($E134,[1]DB!$D:$D,0)),
          INDEX([1]DB!$C:$C,MATCH($E134,[1]DB!$D:$D,0))
        )
      )
    )
  ),
  0
)</f>
        <v>0</v>
      </c>
      <c r="M134" s="9">
        <f>IFERROR(
  IF(
    D134&lt;&gt;"Tiphaine",
    0,
    IF(
      C134="",
      IF(
        COUNTIFS($B$2:B134,B134,$E$2:E134,E134,$D$2:D134,D134)=1,
        INDEX([1]DB!$A:$A,MATCH($E134,[1]DB!$D:$D,0)),
        IF(
          COUNTIFS($B$2:B134,B134,$E$2:E134,E134,$D$2:D134,D134)=2,
          INDEX([1]DB!$B:$B,MATCH($E134,[1]DB!$D:$D,0)),
          INDEX([1]DB!$C:$C,MATCH($E134,[1]DB!$D:$D,0))
        )
      ),
      IF(
        COUNTIFS($C$2:C134,C134,$E$2:E134,E134,$D$2:D134,D134)=1,
        INDEX([1]DB!$A:$A,MATCH($E134,[1]DB!$D:$D,0)),
        IF(
          COUNTIFS($C$2:C134,C134,$E$2:E134,E134,$D$2:D134,D134)=2,
          INDEX([1]DB!$B:$B,MATCH($E134,[1]DB!$D:$D,0)),
          INDEX([1]DB!$C:$C,MATCH($E134,[1]DB!$D:$D,0))
        )
      )
    )
  ),
  0
)</f>
        <v>0</v>
      </c>
      <c r="N134" s="9">
        <f>IFERROR(
  IF(
    D134&lt;&gt;"Catherine",
    0,
    IF(
      C134="",
      IF(
        COUNTIFS($B$2:B134,B134,$E$2:E134,E134,$D$2:D134,D134)=1,
        INDEX([1]DB!$A:$A,MATCH($E134,[1]DB!$D:$D,0)),
        IF(
          COUNTIFS($B$2:B134,B134,$E$2:E134,E134,$D$2:D134,D134)=2,
          INDEX([1]DB!$B:$B,MATCH($E134,[1]DB!$D:$D,0)),
          INDEX([1]DB!$C:$C,MATCH($E134,[1]DB!$D:$D,0))
        )
      ),
      IF(
        COUNTIFS($C$2:C134,C134,$E$2:E134,E134,$D$2:D134,D134)=1,
        INDEX([1]DB!$A:$A,MATCH($E134,[1]DB!$D:$D,0)),
        IF(
          COUNTIFS($C$2:C134,C134,$E$2:E134,E134,$D$2:D134,D134)=2,
          INDEX([1]DB!$B:$B,MATCH($E134,[1]DB!$D:$D,0)),
          INDEX([1]DB!$C:$C,MATCH($E134,[1]DB!$D:$D,0))
        )
      )
    )
  ),
  0
)</f>
        <v>0</v>
      </c>
      <c r="O134" s="20" t="str">
        <f t="shared" si="2"/>
        <v>Janvier</v>
      </c>
      <c r="P134" s="21" t="str">
        <f t="shared" ca="1" si="3"/>
        <v>NON</v>
      </c>
    </row>
    <row r="135" spans="1:16">
      <c r="A135" s="4"/>
      <c r="B135" s="5"/>
      <c r="C135" s="5"/>
      <c r="D135" s="6"/>
      <c r="E135" s="6"/>
      <c r="F135" s="7"/>
      <c r="G135" s="8" cm="1">
        <f t="array" ref="G135">IFERROR(
  IF(D135&lt;&gt;"Cédric",
     0,
     SUMPRODUCT(
       (TRIM(SUBSTITUTE(UPPER($B$2:$B135),CHAR(160),""))=TRIM(SUBSTITUTE(UPPER(B135),CHAR(160),"")))*
       (TRIM(SUBSTITUTE(UPPER($C$2:$C135),CHAR(160),""))=TRIM(SUBSTITUTE(UPPER(C135),CHAR(160),"")))*
       (TRIM(SUBSTITUTE(UPPER($D$2:$D135),CHAR(160),""))=TRIM(SUBSTITUTE(UPPER(D135),CHAR(160),"")))*
       (TRIM(SUBSTITUTE(UPPER($E$2:$E135),CHAR(160),""))=TRIM(SUBSTITUTE(UPPER(E135),CHAR(160),"")))
     )
  ),
  0
)</f>
        <v>0</v>
      </c>
      <c r="H135" s="8" cm="1">
        <f t="array" ref="H135">IFERROR(
  IF(D135&lt;&gt;"Geoffroy",
     0,
     SUMPRODUCT(
       (TRIM(SUBSTITUTE(UPPER($B$2:$B135),CHAR(160),""))=TRIM(SUBSTITUTE(UPPER(B135),CHAR(160),"")))*
       (TRIM(SUBSTITUTE(UPPER($C$2:$C135),CHAR(160),""))=TRIM(SUBSTITUTE(UPPER(C135),CHAR(160),"")))*
       (TRIM(SUBSTITUTE(UPPER($D$2:$D135),CHAR(160),""))=TRIM(SUBSTITUTE(UPPER(D135),CHAR(160),"")))*
       (TRIM(SUBSTITUTE(UPPER($E$2:$E135),CHAR(160),""))=TRIM(SUBSTITUTE(UPPER(E135),CHAR(160),"")))
     )
  ),
  0
)</f>
        <v>0</v>
      </c>
      <c r="I135" s="8" cm="1">
        <f t="array" ref="I135">IFERROR(
  IF(D135&lt;&gt;"Tiphaine",
     0,
     SUMPRODUCT(
       (TRIM(SUBSTITUTE(UPPER($B$2:$B135),CHAR(160),""))=TRIM(SUBSTITUTE(UPPER(B135),CHAR(160),"")))*
       (TRIM(SUBSTITUTE(UPPER($C$2:$C135),CHAR(160),""))=TRIM(SUBSTITUTE(UPPER(C135),CHAR(160),"")))*
       (TRIM(SUBSTITUTE(UPPER($D$2:$D135),CHAR(160),""))=TRIM(SUBSTITUTE(UPPER(D135),CHAR(160),"")))*
       (TRIM(SUBSTITUTE(UPPER($E$2:$E135),CHAR(160),""))=TRIM(SUBSTITUTE(UPPER(E135),CHAR(160),"")))
     )
  ),
  0
)</f>
        <v>0</v>
      </c>
      <c r="J135" s="8" cm="1">
        <f t="array" ref="J135">IFERROR(
  IF(D135&lt;&gt;"Catherine",
     0,
     SUMPRODUCT(
       (TRIM(SUBSTITUTE(UPPER($B$2:$B135),CHAR(160),""))=TRIM(SUBSTITUTE(UPPER(B135),CHAR(160),"")))*
       (TRIM(SUBSTITUTE(UPPER($C$2:$C135),CHAR(160),""))=TRIM(SUBSTITUTE(UPPER(C135),CHAR(160),"")))*
       (TRIM(SUBSTITUTE(UPPER($D$2:$D135),CHAR(160),""))=TRIM(SUBSTITUTE(UPPER(D135),CHAR(160),"")))*
       (TRIM(SUBSTITUTE(UPPER($E$2:$E135),CHAR(160),""))=TRIM(SUBSTITUTE(UPPER(E135),CHAR(160),"")))
     )
  ),
  0
)</f>
        <v>0</v>
      </c>
      <c r="K135" s="19">
        <f>IFERROR(
  IF(
    D135&lt;&gt;"Cédric",
    0,
    IF(
      C135="",
      IF(
        COUNTIFS($B$2:B135,B135,$E$2:E135,E135,$D$2:D135,D135)=1,
        INDEX([1]DB!$A:$A,MATCH($E135,[1]DB!$D:$D,0)),
        IF(
          COUNTIFS($B$2:B135,B135,$E$2:E135,E135,$D$2:D135,D135)=2,
          INDEX([1]DB!$B:$B,MATCH($E135,[1]DB!$D:$D,0)),
          INDEX([1]DB!$C:$C,MATCH($E135,[1]DB!$D:$D,0))
        )
      ),
      IF(
        COUNTIFS($C$2:C135,C135,$E$2:E135,E135,$D$2:D135,D135)=1,
        INDEX([1]DB!$A:$A,MATCH($E135,[1]DB!$D:$D,0)),
        IF(
          COUNTIFS($C$2:C135,C135,$E$2:E135,E135,$D$2:D135,D135)=2,
          INDEX([1]DB!$B:$B,MATCH($E135,[1]DB!$D:$D,0)),
          INDEX([1]DB!$C:$C,MATCH($E135,[1]DB!$D:$D,0))
        )
      )
    )
  ),
  0
)</f>
        <v>0</v>
      </c>
      <c r="L135" s="9">
        <f>IFERROR(
  IF(
    D135&lt;&gt;"Geoffroy",
    0,
    IF(
      C135="",
      IF(
        COUNTIFS($B$2:B135,B135,$E$2:E135,E135,$D$2:D135,D135)=1,
        INDEX([1]DB!$A:$A,MATCH($E135,[1]DB!$D:$D,0)),
        IF(
          COUNTIFS($B$2:B135,B135,$E$2:E135,E135,$D$2:D135,D135)=2,
          INDEX([1]DB!$B:$B,MATCH($E135,[1]DB!$D:$D,0)),
          INDEX([1]DB!$C:$C,MATCH($E135,[1]DB!$D:$D,0))
        )
      ),
      IF(
        COUNTIFS($C$2:C135,C135,$E$2:E135,E135,$D$2:D135,D135)=1,
        INDEX([1]DB!$A:$A,MATCH($E135,[1]DB!$D:$D,0)),
        IF(
          COUNTIFS($C$2:C135,C135,$E$2:E135,E135,$D$2:D135,D135)=2,
          INDEX([1]DB!$B:$B,MATCH($E135,[1]DB!$D:$D,0)),
          INDEX([1]DB!$C:$C,MATCH($E135,[1]DB!$D:$D,0))
        )
      )
    )
  ),
  0
)</f>
        <v>0</v>
      </c>
      <c r="M135" s="9">
        <f>IFERROR(
  IF(
    D135&lt;&gt;"Tiphaine",
    0,
    IF(
      C135="",
      IF(
        COUNTIFS($B$2:B135,B135,$E$2:E135,E135,$D$2:D135,D135)=1,
        INDEX([1]DB!$A:$A,MATCH($E135,[1]DB!$D:$D,0)),
        IF(
          COUNTIFS($B$2:B135,B135,$E$2:E135,E135,$D$2:D135,D135)=2,
          INDEX([1]DB!$B:$B,MATCH($E135,[1]DB!$D:$D,0)),
          INDEX([1]DB!$C:$C,MATCH($E135,[1]DB!$D:$D,0))
        )
      ),
      IF(
        COUNTIFS($C$2:C135,C135,$E$2:E135,E135,$D$2:D135,D135)=1,
        INDEX([1]DB!$A:$A,MATCH($E135,[1]DB!$D:$D,0)),
        IF(
          COUNTIFS($C$2:C135,C135,$E$2:E135,E135,$D$2:D135,D135)=2,
          INDEX([1]DB!$B:$B,MATCH($E135,[1]DB!$D:$D,0)),
          INDEX([1]DB!$C:$C,MATCH($E135,[1]DB!$D:$D,0))
        )
      )
    )
  ),
  0
)</f>
        <v>0</v>
      </c>
      <c r="N135" s="9">
        <f>IFERROR(
  IF(
    D135&lt;&gt;"Catherine",
    0,
    IF(
      C135="",
      IF(
        COUNTIFS($B$2:B135,B135,$E$2:E135,E135,$D$2:D135,D135)=1,
        INDEX([1]DB!$A:$A,MATCH($E135,[1]DB!$D:$D,0)),
        IF(
          COUNTIFS($B$2:B135,B135,$E$2:E135,E135,$D$2:D135,D135)=2,
          INDEX([1]DB!$B:$B,MATCH($E135,[1]DB!$D:$D,0)),
          INDEX([1]DB!$C:$C,MATCH($E135,[1]DB!$D:$D,0))
        )
      ),
      IF(
        COUNTIFS($C$2:C135,C135,$E$2:E135,E135,$D$2:D135,D135)=1,
        INDEX([1]DB!$A:$A,MATCH($E135,[1]DB!$D:$D,0)),
        IF(
          COUNTIFS($C$2:C135,C135,$E$2:E135,E135,$D$2:D135,D135)=2,
          INDEX([1]DB!$B:$B,MATCH($E135,[1]DB!$D:$D,0)),
          INDEX([1]DB!$C:$C,MATCH($E135,[1]DB!$D:$D,0))
        )
      )
    )
  ),
  0
)</f>
        <v>0</v>
      </c>
      <c r="O135" s="20" t="str">
        <f t="shared" si="2"/>
        <v>Janvier</v>
      </c>
      <c r="P135" s="21" t="str">
        <f t="shared" ca="1" si="3"/>
        <v>NON</v>
      </c>
    </row>
    <row r="136" spans="1:16">
      <c r="A136" s="4"/>
      <c r="B136" s="5"/>
      <c r="C136" s="5"/>
      <c r="D136" s="6"/>
      <c r="E136" s="6"/>
      <c r="F136" s="7"/>
      <c r="G136" s="8" cm="1">
        <f t="array" ref="G136">IFERROR(
  IF(D136&lt;&gt;"Cédric",
     0,
     SUMPRODUCT(
       (TRIM(SUBSTITUTE(UPPER($B$2:$B136),CHAR(160),""))=TRIM(SUBSTITUTE(UPPER(B136),CHAR(160),"")))*
       (TRIM(SUBSTITUTE(UPPER($C$2:$C136),CHAR(160),""))=TRIM(SUBSTITUTE(UPPER(C136),CHAR(160),"")))*
       (TRIM(SUBSTITUTE(UPPER($D$2:$D136),CHAR(160),""))=TRIM(SUBSTITUTE(UPPER(D136),CHAR(160),"")))*
       (TRIM(SUBSTITUTE(UPPER($E$2:$E136),CHAR(160),""))=TRIM(SUBSTITUTE(UPPER(E136),CHAR(160),"")))
     )
  ),
  0
)</f>
        <v>0</v>
      </c>
      <c r="H136" s="8" cm="1">
        <f t="array" ref="H136">IFERROR(
  IF(D136&lt;&gt;"Geoffroy",
     0,
     SUMPRODUCT(
       (TRIM(SUBSTITUTE(UPPER($B$2:$B136),CHAR(160),""))=TRIM(SUBSTITUTE(UPPER(B136),CHAR(160),"")))*
       (TRIM(SUBSTITUTE(UPPER($C$2:$C136),CHAR(160),""))=TRIM(SUBSTITUTE(UPPER(C136),CHAR(160),"")))*
       (TRIM(SUBSTITUTE(UPPER($D$2:$D136),CHAR(160),""))=TRIM(SUBSTITUTE(UPPER(D136),CHAR(160),"")))*
       (TRIM(SUBSTITUTE(UPPER($E$2:$E136),CHAR(160),""))=TRIM(SUBSTITUTE(UPPER(E136),CHAR(160),"")))
     )
  ),
  0
)</f>
        <v>0</v>
      </c>
      <c r="I136" s="8" cm="1">
        <f t="array" ref="I136">IFERROR(
  IF(D136&lt;&gt;"Tiphaine",
     0,
     SUMPRODUCT(
       (TRIM(SUBSTITUTE(UPPER($B$2:$B136),CHAR(160),""))=TRIM(SUBSTITUTE(UPPER(B136),CHAR(160),"")))*
       (TRIM(SUBSTITUTE(UPPER($C$2:$C136),CHAR(160),""))=TRIM(SUBSTITUTE(UPPER(C136),CHAR(160),"")))*
       (TRIM(SUBSTITUTE(UPPER($D$2:$D136),CHAR(160),""))=TRIM(SUBSTITUTE(UPPER(D136),CHAR(160),"")))*
       (TRIM(SUBSTITUTE(UPPER($E$2:$E136),CHAR(160),""))=TRIM(SUBSTITUTE(UPPER(E136),CHAR(160),"")))
     )
  ),
  0
)</f>
        <v>0</v>
      </c>
      <c r="J136" s="8" cm="1">
        <f t="array" ref="J136">IFERROR(
  IF(D136&lt;&gt;"Catherine",
     0,
     SUMPRODUCT(
       (TRIM(SUBSTITUTE(UPPER($B$2:$B136),CHAR(160),""))=TRIM(SUBSTITUTE(UPPER(B136),CHAR(160),"")))*
       (TRIM(SUBSTITUTE(UPPER($C$2:$C136),CHAR(160),""))=TRIM(SUBSTITUTE(UPPER(C136),CHAR(160),"")))*
       (TRIM(SUBSTITUTE(UPPER($D$2:$D136),CHAR(160),""))=TRIM(SUBSTITUTE(UPPER(D136),CHAR(160),"")))*
       (TRIM(SUBSTITUTE(UPPER($E$2:$E136),CHAR(160),""))=TRIM(SUBSTITUTE(UPPER(E136),CHAR(160),"")))
     )
  ),
  0
)</f>
        <v>0</v>
      </c>
      <c r="K136" s="19">
        <f>IFERROR(
  IF(
    D136&lt;&gt;"Cédric",
    0,
    IF(
      C136="",
      IF(
        COUNTIFS($B$2:B136,B136,$E$2:E136,E136,$D$2:D136,D136)=1,
        INDEX([1]DB!$A:$A,MATCH($E136,[1]DB!$D:$D,0)),
        IF(
          COUNTIFS($B$2:B136,B136,$E$2:E136,E136,$D$2:D136,D136)=2,
          INDEX([1]DB!$B:$B,MATCH($E136,[1]DB!$D:$D,0)),
          INDEX([1]DB!$C:$C,MATCH($E136,[1]DB!$D:$D,0))
        )
      ),
      IF(
        COUNTIFS($C$2:C136,C136,$E$2:E136,E136,$D$2:D136,D136)=1,
        INDEX([1]DB!$A:$A,MATCH($E136,[1]DB!$D:$D,0)),
        IF(
          COUNTIFS($C$2:C136,C136,$E$2:E136,E136,$D$2:D136,D136)=2,
          INDEX([1]DB!$B:$B,MATCH($E136,[1]DB!$D:$D,0)),
          INDEX([1]DB!$C:$C,MATCH($E136,[1]DB!$D:$D,0))
        )
      )
    )
  ),
  0
)</f>
        <v>0</v>
      </c>
      <c r="L136" s="9">
        <f>IFERROR(
  IF(
    D136&lt;&gt;"Geoffroy",
    0,
    IF(
      C136="",
      IF(
        COUNTIFS($B$2:B136,B136,$E$2:E136,E136,$D$2:D136,D136)=1,
        INDEX([1]DB!$A:$A,MATCH($E136,[1]DB!$D:$D,0)),
        IF(
          COUNTIFS($B$2:B136,B136,$E$2:E136,E136,$D$2:D136,D136)=2,
          INDEX([1]DB!$B:$B,MATCH($E136,[1]DB!$D:$D,0)),
          INDEX([1]DB!$C:$C,MATCH($E136,[1]DB!$D:$D,0))
        )
      ),
      IF(
        COUNTIFS($C$2:C136,C136,$E$2:E136,E136,$D$2:D136,D136)=1,
        INDEX([1]DB!$A:$A,MATCH($E136,[1]DB!$D:$D,0)),
        IF(
          COUNTIFS($C$2:C136,C136,$E$2:E136,E136,$D$2:D136,D136)=2,
          INDEX([1]DB!$B:$B,MATCH($E136,[1]DB!$D:$D,0)),
          INDEX([1]DB!$C:$C,MATCH($E136,[1]DB!$D:$D,0))
        )
      )
    )
  ),
  0
)</f>
        <v>0</v>
      </c>
      <c r="M136" s="9">
        <f>IFERROR(
  IF(
    D136&lt;&gt;"Tiphaine",
    0,
    IF(
      C136="",
      IF(
        COUNTIFS($B$2:B136,B136,$E$2:E136,E136,$D$2:D136,D136)=1,
        INDEX([1]DB!$A:$A,MATCH($E136,[1]DB!$D:$D,0)),
        IF(
          COUNTIFS($B$2:B136,B136,$E$2:E136,E136,$D$2:D136,D136)=2,
          INDEX([1]DB!$B:$B,MATCH($E136,[1]DB!$D:$D,0)),
          INDEX([1]DB!$C:$C,MATCH($E136,[1]DB!$D:$D,0))
        )
      ),
      IF(
        COUNTIFS($C$2:C136,C136,$E$2:E136,E136,$D$2:D136,D136)=1,
        INDEX([1]DB!$A:$A,MATCH($E136,[1]DB!$D:$D,0)),
        IF(
          COUNTIFS($C$2:C136,C136,$E$2:E136,E136,$D$2:D136,D136)=2,
          INDEX([1]DB!$B:$B,MATCH($E136,[1]DB!$D:$D,0)),
          INDEX([1]DB!$C:$C,MATCH($E136,[1]DB!$D:$D,0))
        )
      )
    )
  ),
  0
)</f>
        <v>0</v>
      </c>
      <c r="N136" s="9">
        <f>IFERROR(
  IF(
    D136&lt;&gt;"Catherine",
    0,
    IF(
      C136="",
      IF(
        COUNTIFS($B$2:B136,B136,$E$2:E136,E136,$D$2:D136,D136)=1,
        INDEX([1]DB!$A:$A,MATCH($E136,[1]DB!$D:$D,0)),
        IF(
          COUNTIFS($B$2:B136,B136,$E$2:E136,E136,$D$2:D136,D136)=2,
          INDEX([1]DB!$B:$B,MATCH($E136,[1]DB!$D:$D,0)),
          INDEX([1]DB!$C:$C,MATCH($E136,[1]DB!$D:$D,0))
        )
      ),
      IF(
        COUNTIFS($C$2:C136,C136,$E$2:E136,E136,$D$2:D136,D136)=1,
        INDEX([1]DB!$A:$A,MATCH($E136,[1]DB!$D:$D,0)),
        IF(
          COUNTIFS($C$2:C136,C136,$E$2:E136,E136,$D$2:D136,D136)=2,
          INDEX([1]DB!$B:$B,MATCH($E136,[1]DB!$D:$D,0)),
          INDEX([1]DB!$C:$C,MATCH($E136,[1]DB!$D:$D,0))
        )
      )
    )
  ),
  0
)</f>
        <v>0</v>
      </c>
      <c r="O136" s="20" t="str">
        <f t="shared" si="2"/>
        <v>Janvier</v>
      </c>
      <c r="P136" s="21" t="str">
        <f t="shared" ca="1" si="3"/>
        <v>NON</v>
      </c>
    </row>
    <row r="137" spans="1:16">
      <c r="A137" s="4"/>
      <c r="B137" s="5"/>
      <c r="C137" s="5"/>
      <c r="D137" s="6"/>
      <c r="E137" s="6"/>
      <c r="F137" s="7"/>
      <c r="G137" s="8" cm="1">
        <f t="array" ref="G137">IFERROR(
  IF(D137&lt;&gt;"Cédric",
     0,
     SUMPRODUCT(
       (TRIM(SUBSTITUTE(UPPER($B$2:$B137),CHAR(160),""))=TRIM(SUBSTITUTE(UPPER(B137),CHAR(160),"")))*
       (TRIM(SUBSTITUTE(UPPER($C$2:$C137),CHAR(160),""))=TRIM(SUBSTITUTE(UPPER(C137),CHAR(160),"")))*
       (TRIM(SUBSTITUTE(UPPER($D$2:$D137),CHAR(160),""))=TRIM(SUBSTITUTE(UPPER(D137),CHAR(160),"")))*
       (TRIM(SUBSTITUTE(UPPER($E$2:$E137),CHAR(160),""))=TRIM(SUBSTITUTE(UPPER(E137),CHAR(160),"")))
     )
  ),
  0
)</f>
        <v>0</v>
      </c>
      <c r="H137" s="8" cm="1">
        <f t="array" ref="H137">IFERROR(
  IF(D137&lt;&gt;"Geoffroy",
     0,
     SUMPRODUCT(
       (TRIM(SUBSTITUTE(UPPER($B$2:$B137),CHAR(160),""))=TRIM(SUBSTITUTE(UPPER(B137),CHAR(160),"")))*
       (TRIM(SUBSTITUTE(UPPER($C$2:$C137),CHAR(160),""))=TRIM(SUBSTITUTE(UPPER(C137),CHAR(160),"")))*
       (TRIM(SUBSTITUTE(UPPER($D$2:$D137),CHAR(160),""))=TRIM(SUBSTITUTE(UPPER(D137),CHAR(160),"")))*
       (TRIM(SUBSTITUTE(UPPER($E$2:$E137),CHAR(160),""))=TRIM(SUBSTITUTE(UPPER(E137),CHAR(160),"")))
     )
  ),
  0
)</f>
        <v>0</v>
      </c>
      <c r="I137" s="8" cm="1">
        <f t="array" ref="I137">IFERROR(
  IF(D137&lt;&gt;"Tiphaine",
     0,
     SUMPRODUCT(
       (TRIM(SUBSTITUTE(UPPER($B$2:$B137),CHAR(160),""))=TRIM(SUBSTITUTE(UPPER(B137),CHAR(160),"")))*
       (TRIM(SUBSTITUTE(UPPER($C$2:$C137),CHAR(160),""))=TRIM(SUBSTITUTE(UPPER(C137),CHAR(160),"")))*
       (TRIM(SUBSTITUTE(UPPER($D$2:$D137),CHAR(160),""))=TRIM(SUBSTITUTE(UPPER(D137),CHAR(160),"")))*
       (TRIM(SUBSTITUTE(UPPER($E$2:$E137),CHAR(160),""))=TRIM(SUBSTITUTE(UPPER(E137),CHAR(160),"")))
     )
  ),
  0
)</f>
        <v>0</v>
      </c>
      <c r="J137" s="8" cm="1">
        <f t="array" ref="J137">IFERROR(
  IF(D137&lt;&gt;"Catherine",
     0,
     SUMPRODUCT(
       (TRIM(SUBSTITUTE(UPPER($B$2:$B137),CHAR(160),""))=TRIM(SUBSTITUTE(UPPER(B137),CHAR(160),"")))*
       (TRIM(SUBSTITUTE(UPPER($C$2:$C137),CHAR(160),""))=TRIM(SUBSTITUTE(UPPER(C137),CHAR(160),"")))*
       (TRIM(SUBSTITUTE(UPPER($D$2:$D137),CHAR(160),""))=TRIM(SUBSTITUTE(UPPER(D137),CHAR(160),"")))*
       (TRIM(SUBSTITUTE(UPPER($E$2:$E137),CHAR(160),""))=TRIM(SUBSTITUTE(UPPER(E137),CHAR(160),"")))
     )
  ),
  0
)</f>
        <v>0</v>
      </c>
      <c r="K137" s="19">
        <f>IFERROR(
  IF(
    D137&lt;&gt;"Cédric",
    0,
    IF(
      C137="",
      IF(
        COUNTIFS($B$2:B137,B137,$E$2:E137,E137,$D$2:D137,D137)=1,
        INDEX([1]DB!$A:$A,MATCH($E137,[1]DB!$D:$D,0)),
        IF(
          COUNTIFS($B$2:B137,B137,$E$2:E137,E137,$D$2:D137,D137)=2,
          INDEX([1]DB!$B:$B,MATCH($E137,[1]DB!$D:$D,0)),
          INDEX([1]DB!$C:$C,MATCH($E137,[1]DB!$D:$D,0))
        )
      ),
      IF(
        COUNTIFS($C$2:C137,C137,$E$2:E137,E137,$D$2:D137,D137)=1,
        INDEX([1]DB!$A:$A,MATCH($E137,[1]DB!$D:$D,0)),
        IF(
          COUNTIFS($C$2:C137,C137,$E$2:E137,E137,$D$2:D137,D137)=2,
          INDEX([1]DB!$B:$B,MATCH($E137,[1]DB!$D:$D,0)),
          INDEX([1]DB!$C:$C,MATCH($E137,[1]DB!$D:$D,0))
        )
      )
    )
  ),
  0
)</f>
        <v>0</v>
      </c>
      <c r="L137" s="9">
        <f>IFERROR(
  IF(
    D137&lt;&gt;"Geoffroy",
    0,
    IF(
      C137="",
      IF(
        COUNTIFS($B$2:B137,B137,$E$2:E137,E137,$D$2:D137,D137)=1,
        INDEX([1]DB!$A:$A,MATCH($E137,[1]DB!$D:$D,0)),
        IF(
          COUNTIFS($B$2:B137,B137,$E$2:E137,E137,$D$2:D137,D137)=2,
          INDEX([1]DB!$B:$B,MATCH($E137,[1]DB!$D:$D,0)),
          INDEX([1]DB!$C:$C,MATCH($E137,[1]DB!$D:$D,0))
        )
      ),
      IF(
        COUNTIFS($C$2:C137,C137,$E$2:E137,E137,$D$2:D137,D137)=1,
        INDEX([1]DB!$A:$A,MATCH($E137,[1]DB!$D:$D,0)),
        IF(
          COUNTIFS($C$2:C137,C137,$E$2:E137,E137,$D$2:D137,D137)=2,
          INDEX([1]DB!$B:$B,MATCH($E137,[1]DB!$D:$D,0)),
          INDEX([1]DB!$C:$C,MATCH($E137,[1]DB!$D:$D,0))
        )
      )
    )
  ),
  0
)</f>
        <v>0</v>
      </c>
      <c r="M137" s="9">
        <f>IFERROR(
  IF(
    D137&lt;&gt;"Tiphaine",
    0,
    IF(
      C137="",
      IF(
        COUNTIFS($B$2:B137,B137,$E$2:E137,E137,$D$2:D137,D137)=1,
        INDEX([1]DB!$A:$A,MATCH($E137,[1]DB!$D:$D,0)),
        IF(
          COUNTIFS($B$2:B137,B137,$E$2:E137,E137,$D$2:D137,D137)=2,
          INDEX([1]DB!$B:$B,MATCH($E137,[1]DB!$D:$D,0)),
          INDEX([1]DB!$C:$C,MATCH($E137,[1]DB!$D:$D,0))
        )
      ),
      IF(
        COUNTIFS($C$2:C137,C137,$E$2:E137,E137,$D$2:D137,D137)=1,
        INDEX([1]DB!$A:$A,MATCH($E137,[1]DB!$D:$D,0)),
        IF(
          COUNTIFS($C$2:C137,C137,$E$2:E137,E137,$D$2:D137,D137)=2,
          INDEX([1]DB!$B:$B,MATCH($E137,[1]DB!$D:$D,0)),
          INDEX([1]DB!$C:$C,MATCH($E137,[1]DB!$D:$D,0))
        )
      )
    )
  ),
  0
)</f>
        <v>0</v>
      </c>
      <c r="N137" s="9">
        <f>IFERROR(
  IF(
    D137&lt;&gt;"Catherine",
    0,
    IF(
      C137="",
      IF(
        COUNTIFS($B$2:B137,B137,$E$2:E137,E137,$D$2:D137,D137)=1,
        INDEX([1]DB!$A:$A,MATCH($E137,[1]DB!$D:$D,0)),
        IF(
          COUNTIFS($B$2:B137,B137,$E$2:E137,E137,$D$2:D137,D137)=2,
          INDEX([1]DB!$B:$B,MATCH($E137,[1]DB!$D:$D,0)),
          INDEX([1]DB!$C:$C,MATCH($E137,[1]DB!$D:$D,0))
        )
      ),
      IF(
        COUNTIFS($C$2:C137,C137,$E$2:E137,E137,$D$2:D137,D137)=1,
        INDEX([1]DB!$A:$A,MATCH($E137,[1]DB!$D:$D,0)),
        IF(
          COUNTIFS($C$2:C137,C137,$E$2:E137,E137,$D$2:D137,D137)=2,
          INDEX([1]DB!$B:$B,MATCH($E137,[1]DB!$D:$D,0)),
          INDEX([1]DB!$C:$C,MATCH($E137,[1]DB!$D:$D,0))
        )
      )
    )
  ),
  0
)</f>
        <v>0</v>
      </c>
      <c r="O137" s="20" t="str">
        <f t="shared" si="2"/>
        <v>Janvier</v>
      </c>
      <c r="P137" s="21" t="str">
        <f t="shared" ca="1" si="3"/>
        <v>NON</v>
      </c>
    </row>
    <row r="138" spans="1:16">
      <c r="A138" s="4"/>
      <c r="B138" s="5"/>
      <c r="C138" s="5"/>
      <c r="D138" s="6"/>
      <c r="E138" s="6"/>
      <c r="F138" s="7"/>
      <c r="G138" s="8" cm="1">
        <f t="array" ref="G138">IFERROR(
  IF(D138&lt;&gt;"Cédric",
     0,
     SUMPRODUCT(
       (TRIM(SUBSTITUTE(UPPER($B$2:$B138),CHAR(160),""))=TRIM(SUBSTITUTE(UPPER(B138),CHAR(160),"")))*
       (TRIM(SUBSTITUTE(UPPER($C$2:$C138),CHAR(160),""))=TRIM(SUBSTITUTE(UPPER(C138),CHAR(160),"")))*
       (TRIM(SUBSTITUTE(UPPER($D$2:$D138),CHAR(160),""))=TRIM(SUBSTITUTE(UPPER(D138),CHAR(160),"")))*
       (TRIM(SUBSTITUTE(UPPER($E$2:$E138),CHAR(160),""))=TRIM(SUBSTITUTE(UPPER(E138),CHAR(160),"")))
     )
  ),
  0
)</f>
        <v>0</v>
      </c>
      <c r="H138" s="8" cm="1">
        <f t="array" ref="H138">IFERROR(
  IF(D138&lt;&gt;"Geoffroy",
     0,
     SUMPRODUCT(
       (TRIM(SUBSTITUTE(UPPER($B$2:$B138),CHAR(160),""))=TRIM(SUBSTITUTE(UPPER(B138),CHAR(160),"")))*
       (TRIM(SUBSTITUTE(UPPER($C$2:$C138),CHAR(160),""))=TRIM(SUBSTITUTE(UPPER(C138),CHAR(160),"")))*
       (TRIM(SUBSTITUTE(UPPER($D$2:$D138),CHAR(160),""))=TRIM(SUBSTITUTE(UPPER(D138),CHAR(160),"")))*
       (TRIM(SUBSTITUTE(UPPER($E$2:$E138),CHAR(160),""))=TRIM(SUBSTITUTE(UPPER(E138),CHAR(160),"")))
     )
  ),
  0
)</f>
        <v>0</v>
      </c>
      <c r="I138" s="8" cm="1">
        <f t="array" ref="I138">IFERROR(
  IF(D138&lt;&gt;"Tiphaine",
     0,
     SUMPRODUCT(
       (TRIM(SUBSTITUTE(UPPER($B$2:$B138),CHAR(160),""))=TRIM(SUBSTITUTE(UPPER(B138),CHAR(160),"")))*
       (TRIM(SUBSTITUTE(UPPER($C$2:$C138),CHAR(160),""))=TRIM(SUBSTITUTE(UPPER(C138),CHAR(160),"")))*
       (TRIM(SUBSTITUTE(UPPER($D$2:$D138),CHAR(160),""))=TRIM(SUBSTITUTE(UPPER(D138),CHAR(160),"")))*
       (TRIM(SUBSTITUTE(UPPER($E$2:$E138),CHAR(160),""))=TRIM(SUBSTITUTE(UPPER(E138),CHAR(160),"")))
     )
  ),
  0
)</f>
        <v>0</v>
      </c>
      <c r="J138" s="8" cm="1">
        <f t="array" ref="J138">IFERROR(
  IF(D138&lt;&gt;"Catherine",
     0,
     SUMPRODUCT(
       (TRIM(SUBSTITUTE(UPPER($B$2:$B138),CHAR(160),""))=TRIM(SUBSTITUTE(UPPER(B138),CHAR(160),"")))*
       (TRIM(SUBSTITUTE(UPPER($C$2:$C138),CHAR(160),""))=TRIM(SUBSTITUTE(UPPER(C138),CHAR(160),"")))*
       (TRIM(SUBSTITUTE(UPPER($D$2:$D138),CHAR(160),""))=TRIM(SUBSTITUTE(UPPER(D138),CHAR(160),"")))*
       (TRIM(SUBSTITUTE(UPPER($E$2:$E138),CHAR(160),""))=TRIM(SUBSTITUTE(UPPER(E138),CHAR(160),"")))
     )
  ),
  0
)</f>
        <v>0</v>
      </c>
      <c r="K138" s="19">
        <f>IFERROR(
  IF(
    D138&lt;&gt;"Cédric",
    0,
    IF(
      C138="",
      IF(
        COUNTIFS($B$2:B138,B138,$E$2:E138,E138,$D$2:D138,D138)=1,
        INDEX([1]DB!$A:$A,MATCH($E138,[1]DB!$D:$D,0)),
        IF(
          COUNTIFS($B$2:B138,B138,$E$2:E138,E138,$D$2:D138,D138)=2,
          INDEX([1]DB!$B:$B,MATCH($E138,[1]DB!$D:$D,0)),
          INDEX([1]DB!$C:$C,MATCH($E138,[1]DB!$D:$D,0))
        )
      ),
      IF(
        COUNTIFS($C$2:C138,C138,$E$2:E138,E138,$D$2:D138,D138)=1,
        INDEX([1]DB!$A:$A,MATCH($E138,[1]DB!$D:$D,0)),
        IF(
          COUNTIFS($C$2:C138,C138,$E$2:E138,E138,$D$2:D138,D138)=2,
          INDEX([1]DB!$B:$B,MATCH($E138,[1]DB!$D:$D,0)),
          INDEX([1]DB!$C:$C,MATCH($E138,[1]DB!$D:$D,0))
        )
      )
    )
  ),
  0
)</f>
        <v>0</v>
      </c>
      <c r="L138" s="9">
        <f>IFERROR(
  IF(
    D138&lt;&gt;"Geoffroy",
    0,
    IF(
      C138="",
      IF(
        COUNTIFS($B$2:B138,B138,$E$2:E138,E138,$D$2:D138,D138)=1,
        INDEX([1]DB!$A:$A,MATCH($E138,[1]DB!$D:$D,0)),
        IF(
          COUNTIFS($B$2:B138,B138,$E$2:E138,E138,$D$2:D138,D138)=2,
          INDEX([1]DB!$B:$B,MATCH($E138,[1]DB!$D:$D,0)),
          INDEX([1]DB!$C:$C,MATCH($E138,[1]DB!$D:$D,0))
        )
      ),
      IF(
        COUNTIFS($C$2:C138,C138,$E$2:E138,E138,$D$2:D138,D138)=1,
        INDEX([1]DB!$A:$A,MATCH($E138,[1]DB!$D:$D,0)),
        IF(
          COUNTIFS($C$2:C138,C138,$E$2:E138,E138,$D$2:D138,D138)=2,
          INDEX([1]DB!$B:$B,MATCH($E138,[1]DB!$D:$D,0)),
          INDEX([1]DB!$C:$C,MATCH($E138,[1]DB!$D:$D,0))
        )
      )
    )
  ),
  0
)</f>
        <v>0</v>
      </c>
      <c r="M138" s="9">
        <f>IFERROR(
  IF(
    D138&lt;&gt;"Tiphaine",
    0,
    IF(
      C138="",
      IF(
        COUNTIFS($B$2:B138,B138,$E$2:E138,E138,$D$2:D138,D138)=1,
        INDEX([1]DB!$A:$A,MATCH($E138,[1]DB!$D:$D,0)),
        IF(
          COUNTIFS($B$2:B138,B138,$E$2:E138,E138,$D$2:D138,D138)=2,
          INDEX([1]DB!$B:$B,MATCH($E138,[1]DB!$D:$D,0)),
          INDEX([1]DB!$C:$C,MATCH($E138,[1]DB!$D:$D,0))
        )
      ),
      IF(
        COUNTIFS($C$2:C138,C138,$E$2:E138,E138,$D$2:D138,D138)=1,
        INDEX([1]DB!$A:$A,MATCH($E138,[1]DB!$D:$D,0)),
        IF(
          COUNTIFS($C$2:C138,C138,$E$2:E138,E138,$D$2:D138,D138)=2,
          INDEX([1]DB!$B:$B,MATCH($E138,[1]DB!$D:$D,0)),
          INDEX([1]DB!$C:$C,MATCH($E138,[1]DB!$D:$D,0))
        )
      )
    )
  ),
  0
)</f>
        <v>0</v>
      </c>
      <c r="N138" s="9">
        <f>IFERROR(
  IF(
    D138&lt;&gt;"Catherine",
    0,
    IF(
      C138="",
      IF(
        COUNTIFS($B$2:B138,B138,$E$2:E138,E138,$D$2:D138,D138)=1,
        INDEX([1]DB!$A:$A,MATCH($E138,[1]DB!$D:$D,0)),
        IF(
          COUNTIFS($B$2:B138,B138,$E$2:E138,E138,$D$2:D138,D138)=2,
          INDEX([1]DB!$B:$B,MATCH($E138,[1]DB!$D:$D,0)),
          INDEX([1]DB!$C:$C,MATCH($E138,[1]DB!$D:$D,0))
        )
      ),
      IF(
        COUNTIFS($C$2:C138,C138,$E$2:E138,E138,$D$2:D138,D138)=1,
        INDEX([1]DB!$A:$A,MATCH($E138,[1]DB!$D:$D,0)),
        IF(
          COUNTIFS($C$2:C138,C138,$E$2:E138,E138,$D$2:D138,D138)=2,
          INDEX([1]DB!$B:$B,MATCH($E138,[1]DB!$D:$D,0)),
          INDEX([1]DB!$C:$C,MATCH($E138,[1]DB!$D:$D,0))
        )
      )
    )
  ),
  0
)</f>
        <v>0</v>
      </c>
      <c r="O138" s="20" t="str">
        <f t="shared" si="2"/>
        <v>Janvier</v>
      </c>
      <c r="P138" s="21" t="str">
        <f t="shared" ca="1" si="3"/>
        <v>NON</v>
      </c>
    </row>
    <row r="139" spans="1:16">
      <c r="A139" s="4"/>
      <c r="B139" s="5"/>
      <c r="C139" s="5"/>
      <c r="D139" s="6"/>
      <c r="E139" s="6"/>
      <c r="F139" s="7"/>
      <c r="G139" s="8" cm="1">
        <f t="array" ref="G139">IFERROR(
  IF(D139&lt;&gt;"Cédric",
     0,
     SUMPRODUCT(
       (TRIM(SUBSTITUTE(UPPER($B$2:$B139),CHAR(160),""))=TRIM(SUBSTITUTE(UPPER(B139),CHAR(160),"")))*
       (TRIM(SUBSTITUTE(UPPER($C$2:$C139),CHAR(160),""))=TRIM(SUBSTITUTE(UPPER(C139),CHAR(160),"")))*
       (TRIM(SUBSTITUTE(UPPER($D$2:$D139),CHAR(160),""))=TRIM(SUBSTITUTE(UPPER(D139),CHAR(160),"")))*
       (TRIM(SUBSTITUTE(UPPER($E$2:$E139),CHAR(160),""))=TRIM(SUBSTITUTE(UPPER(E139),CHAR(160),"")))
     )
  ),
  0
)</f>
        <v>0</v>
      </c>
      <c r="H139" s="8" cm="1">
        <f t="array" ref="H139">IFERROR(
  IF(D139&lt;&gt;"Geoffroy",
     0,
     SUMPRODUCT(
       (TRIM(SUBSTITUTE(UPPER($B$2:$B139),CHAR(160),""))=TRIM(SUBSTITUTE(UPPER(B139),CHAR(160),"")))*
       (TRIM(SUBSTITUTE(UPPER($C$2:$C139),CHAR(160),""))=TRIM(SUBSTITUTE(UPPER(C139),CHAR(160),"")))*
       (TRIM(SUBSTITUTE(UPPER($D$2:$D139),CHAR(160),""))=TRIM(SUBSTITUTE(UPPER(D139),CHAR(160),"")))*
       (TRIM(SUBSTITUTE(UPPER($E$2:$E139),CHAR(160),""))=TRIM(SUBSTITUTE(UPPER(E139),CHAR(160),"")))
     )
  ),
  0
)</f>
        <v>0</v>
      </c>
      <c r="I139" s="8" cm="1">
        <f t="array" ref="I139">IFERROR(
  IF(D139&lt;&gt;"Tiphaine",
     0,
     SUMPRODUCT(
       (TRIM(SUBSTITUTE(UPPER($B$2:$B139),CHAR(160),""))=TRIM(SUBSTITUTE(UPPER(B139),CHAR(160),"")))*
       (TRIM(SUBSTITUTE(UPPER($C$2:$C139),CHAR(160),""))=TRIM(SUBSTITUTE(UPPER(C139),CHAR(160),"")))*
       (TRIM(SUBSTITUTE(UPPER($D$2:$D139),CHAR(160),""))=TRIM(SUBSTITUTE(UPPER(D139),CHAR(160),"")))*
       (TRIM(SUBSTITUTE(UPPER($E$2:$E139),CHAR(160),""))=TRIM(SUBSTITUTE(UPPER(E139),CHAR(160),"")))
     )
  ),
  0
)</f>
        <v>0</v>
      </c>
      <c r="J139" s="8" cm="1">
        <f t="array" ref="J139">IFERROR(
  IF(D139&lt;&gt;"Catherine",
     0,
     SUMPRODUCT(
       (TRIM(SUBSTITUTE(UPPER($B$2:$B139),CHAR(160),""))=TRIM(SUBSTITUTE(UPPER(B139),CHAR(160),"")))*
       (TRIM(SUBSTITUTE(UPPER($C$2:$C139),CHAR(160),""))=TRIM(SUBSTITUTE(UPPER(C139),CHAR(160),"")))*
       (TRIM(SUBSTITUTE(UPPER($D$2:$D139),CHAR(160),""))=TRIM(SUBSTITUTE(UPPER(D139),CHAR(160),"")))*
       (TRIM(SUBSTITUTE(UPPER($E$2:$E139),CHAR(160),""))=TRIM(SUBSTITUTE(UPPER(E139),CHAR(160),"")))
     )
  ),
  0
)</f>
        <v>0</v>
      </c>
      <c r="K139" s="19">
        <f>IFERROR(
  IF(
    D139&lt;&gt;"Cédric",
    0,
    IF(
      C139="",
      IF(
        COUNTIFS($B$2:B139,B139,$E$2:E139,E139,$D$2:D139,D139)=1,
        INDEX([1]DB!$A:$A,MATCH($E139,[1]DB!$D:$D,0)),
        IF(
          COUNTIFS($B$2:B139,B139,$E$2:E139,E139,$D$2:D139,D139)=2,
          INDEX([1]DB!$B:$B,MATCH($E139,[1]DB!$D:$D,0)),
          INDEX([1]DB!$C:$C,MATCH($E139,[1]DB!$D:$D,0))
        )
      ),
      IF(
        COUNTIFS($C$2:C139,C139,$E$2:E139,E139,$D$2:D139,D139)=1,
        INDEX([1]DB!$A:$A,MATCH($E139,[1]DB!$D:$D,0)),
        IF(
          COUNTIFS($C$2:C139,C139,$E$2:E139,E139,$D$2:D139,D139)=2,
          INDEX([1]DB!$B:$B,MATCH($E139,[1]DB!$D:$D,0)),
          INDEX([1]DB!$C:$C,MATCH($E139,[1]DB!$D:$D,0))
        )
      )
    )
  ),
  0
)</f>
        <v>0</v>
      </c>
      <c r="L139" s="9">
        <f>IFERROR(
  IF(
    D139&lt;&gt;"Geoffroy",
    0,
    IF(
      C139="",
      IF(
        COUNTIFS($B$2:B139,B139,$E$2:E139,E139,$D$2:D139,D139)=1,
        INDEX([1]DB!$A:$A,MATCH($E139,[1]DB!$D:$D,0)),
        IF(
          COUNTIFS($B$2:B139,B139,$E$2:E139,E139,$D$2:D139,D139)=2,
          INDEX([1]DB!$B:$B,MATCH($E139,[1]DB!$D:$D,0)),
          INDEX([1]DB!$C:$C,MATCH($E139,[1]DB!$D:$D,0))
        )
      ),
      IF(
        COUNTIFS($C$2:C139,C139,$E$2:E139,E139,$D$2:D139,D139)=1,
        INDEX([1]DB!$A:$A,MATCH($E139,[1]DB!$D:$D,0)),
        IF(
          COUNTIFS($C$2:C139,C139,$E$2:E139,E139,$D$2:D139,D139)=2,
          INDEX([1]DB!$B:$B,MATCH($E139,[1]DB!$D:$D,0)),
          INDEX([1]DB!$C:$C,MATCH($E139,[1]DB!$D:$D,0))
        )
      )
    )
  ),
  0
)</f>
        <v>0</v>
      </c>
      <c r="M139" s="9">
        <f>IFERROR(
  IF(
    D139&lt;&gt;"Tiphaine",
    0,
    IF(
      C139="",
      IF(
        COUNTIFS($B$2:B139,B139,$E$2:E139,E139,$D$2:D139,D139)=1,
        INDEX([1]DB!$A:$A,MATCH($E139,[1]DB!$D:$D,0)),
        IF(
          COUNTIFS($B$2:B139,B139,$E$2:E139,E139,$D$2:D139,D139)=2,
          INDEX([1]DB!$B:$B,MATCH($E139,[1]DB!$D:$D,0)),
          INDEX([1]DB!$C:$C,MATCH($E139,[1]DB!$D:$D,0))
        )
      ),
      IF(
        COUNTIFS($C$2:C139,C139,$E$2:E139,E139,$D$2:D139,D139)=1,
        INDEX([1]DB!$A:$A,MATCH($E139,[1]DB!$D:$D,0)),
        IF(
          COUNTIFS($C$2:C139,C139,$E$2:E139,E139,$D$2:D139,D139)=2,
          INDEX([1]DB!$B:$B,MATCH($E139,[1]DB!$D:$D,0)),
          INDEX([1]DB!$C:$C,MATCH($E139,[1]DB!$D:$D,0))
        )
      )
    )
  ),
  0
)</f>
        <v>0</v>
      </c>
      <c r="N139" s="9">
        <f>IFERROR(
  IF(
    D139&lt;&gt;"Catherine",
    0,
    IF(
      C139="",
      IF(
        COUNTIFS($B$2:B139,B139,$E$2:E139,E139,$D$2:D139,D139)=1,
        INDEX([1]DB!$A:$A,MATCH($E139,[1]DB!$D:$D,0)),
        IF(
          COUNTIFS($B$2:B139,B139,$E$2:E139,E139,$D$2:D139,D139)=2,
          INDEX([1]DB!$B:$B,MATCH($E139,[1]DB!$D:$D,0)),
          INDEX([1]DB!$C:$C,MATCH($E139,[1]DB!$D:$D,0))
        )
      ),
      IF(
        COUNTIFS($C$2:C139,C139,$E$2:E139,E139,$D$2:D139,D139)=1,
        INDEX([1]DB!$A:$A,MATCH($E139,[1]DB!$D:$D,0)),
        IF(
          COUNTIFS($C$2:C139,C139,$E$2:E139,E139,$D$2:D139,D139)=2,
          INDEX([1]DB!$B:$B,MATCH($E139,[1]DB!$D:$D,0)),
          INDEX([1]DB!$C:$C,MATCH($E139,[1]DB!$D:$D,0))
        )
      )
    )
  ),
  0
)</f>
        <v>0</v>
      </c>
      <c r="O139" s="20" t="str">
        <f t="shared" si="2"/>
        <v>Janvier</v>
      </c>
      <c r="P139" s="21" t="str">
        <f t="shared" ca="1" si="3"/>
        <v>NON</v>
      </c>
    </row>
    <row r="140" spans="1:16">
      <c r="A140" s="4"/>
      <c r="B140" s="5"/>
      <c r="C140" s="5"/>
      <c r="D140" s="6"/>
      <c r="E140" s="6"/>
      <c r="F140" s="7"/>
      <c r="G140" s="8" cm="1">
        <f t="array" ref="G140">IFERROR(
  IF(D140&lt;&gt;"Cédric",
     0,
     SUMPRODUCT(
       (TRIM(SUBSTITUTE(UPPER($B$2:$B140),CHAR(160),""))=TRIM(SUBSTITUTE(UPPER(B140),CHAR(160),"")))*
       (TRIM(SUBSTITUTE(UPPER($C$2:$C140),CHAR(160),""))=TRIM(SUBSTITUTE(UPPER(C140),CHAR(160),"")))*
       (TRIM(SUBSTITUTE(UPPER($D$2:$D140),CHAR(160),""))=TRIM(SUBSTITUTE(UPPER(D140),CHAR(160),"")))*
       (TRIM(SUBSTITUTE(UPPER($E$2:$E140),CHAR(160),""))=TRIM(SUBSTITUTE(UPPER(E140),CHAR(160),"")))
     )
  ),
  0
)</f>
        <v>0</v>
      </c>
      <c r="H140" s="8" cm="1">
        <f t="array" ref="H140">IFERROR(
  IF(D140&lt;&gt;"Geoffroy",
     0,
     SUMPRODUCT(
       (TRIM(SUBSTITUTE(UPPER($B$2:$B140),CHAR(160),""))=TRIM(SUBSTITUTE(UPPER(B140),CHAR(160),"")))*
       (TRIM(SUBSTITUTE(UPPER($C$2:$C140),CHAR(160),""))=TRIM(SUBSTITUTE(UPPER(C140),CHAR(160),"")))*
       (TRIM(SUBSTITUTE(UPPER($D$2:$D140),CHAR(160),""))=TRIM(SUBSTITUTE(UPPER(D140),CHAR(160),"")))*
       (TRIM(SUBSTITUTE(UPPER($E$2:$E140),CHAR(160),""))=TRIM(SUBSTITUTE(UPPER(E140),CHAR(160),"")))
     )
  ),
  0
)</f>
        <v>0</v>
      </c>
      <c r="I140" s="8" cm="1">
        <f t="array" ref="I140">IFERROR(
  IF(D140&lt;&gt;"Tiphaine",
     0,
     SUMPRODUCT(
       (TRIM(SUBSTITUTE(UPPER($B$2:$B140),CHAR(160),""))=TRIM(SUBSTITUTE(UPPER(B140),CHAR(160),"")))*
       (TRIM(SUBSTITUTE(UPPER($C$2:$C140),CHAR(160),""))=TRIM(SUBSTITUTE(UPPER(C140),CHAR(160),"")))*
       (TRIM(SUBSTITUTE(UPPER($D$2:$D140),CHAR(160),""))=TRIM(SUBSTITUTE(UPPER(D140),CHAR(160),"")))*
       (TRIM(SUBSTITUTE(UPPER($E$2:$E140),CHAR(160),""))=TRIM(SUBSTITUTE(UPPER(E140),CHAR(160),"")))
     )
  ),
  0
)</f>
        <v>0</v>
      </c>
      <c r="J140" s="8" cm="1">
        <f t="array" ref="J140">IFERROR(
  IF(D140&lt;&gt;"Catherine",
     0,
     SUMPRODUCT(
       (TRIM(SUBSTITUTE(UPPER($B$2:$B140),CHAR(160),""))=TRIM(SUBSTITUTE(UPPER(B140),CHAR(160),"")))*
       (TRIM(SUBSTITUTE(UPPER($C$2:$C140),CHAR(160),""))=TRIM(SUBSTITUTE(UPPER(C140),CHAR(160),"")))*
       (TRIM(SUBSTITUTE(UPPER($D$2:$D140),CHAR(160),""))=TRIM(SUBSTITUTE(UPPER(D140),CHAR(160),"")))*
       (TRIM(SUBSTITUTE(UPPER($E$2:$E140),CHAR(160),""))=TRIM(SUBSTITUTE(UPPER(E140),CHAR(160),"")))
     )
  ),
  0
)</f>
        <v>0</v>
      </c>
      <c r="K140" s="19">
        <f>IFERROR(
  IF(
    D140&lt;&gt;"Cédric",
    0,
    IF(
      C140="",
      IF(
        COUNTIFS($B$2:B140,B140,$E$2:E140,E140,$D$2:D140,D140)=1,
        INDEX([1]DB!$A:$A,MATCH($E140,[1]DB!$D:$D,0)),
        IF(
          COUNTIFS($B$2:B140,B140,$E$2:E140,E140,$D$2:D140,D140)=2,
          INDEX([1]DB!$B:$B,MATCH($E140,[1]DB!$D:$D,0)),
          INDEX([1]DB!$C:$C,MATCH($E140,[1]DB!$D:$D,0))
        )
      ),
      IF(
        COUNTIFS($C$2:C140,C140,$E$2:E140,E140,$D$2:D140,D140)=1,
        INDEX([1]DB!$A:$A,MATCH($E140,[1]DB!$D:$D,0)),
        IF(
          COUNTIFS($C$2:C140,C140,$E$2:E140,E140,$D$2:D140,D140)=2,
          INDEX([1]DB!$B:$B,MATCH($E140,[1]DB!$D:$D,0)),
          INDEX([1]DB!$C:$C,MATCH($E140,[1]DB!$D:$D,0))
        )
      )
    )
  ),
  0
)</f>
        <v>0</v>
      </c>
      <c r="L140" s="9">
        <f>IFERROR(
  IF(
    D140&lt;&gt;"Geoffroy",
    0,
    IF(
      C140="",
      IF(
        COUNTIFS($B$2:B140,B140,$E$2:E140,E140,$D$2:D140,D140)=1,
        INDEX([1]DB!$A:$A,MATCH($E140,[1]DB!$D:$D,0)),
        IF(
          COUNTIFS($B$2:B140,B140,$E$2:E140,E140,$D$2:D140,D140)=2,
          INDEX([1]DB!$B:$B,MATCH($E140,[1]DB!$D:$D,0)),
          INDEX([1]DB!$C:$C,MATCH($E140,[1]DB!$D:$D,0))
        )
      ),
      IF(
        COUNTIFS($C$2:C140,C140,$E$2:E140,E140,$D$2:D140,D140)=1,
        INDEX([1]DB!$A:$A,MATCH($E140,[1]DB!$D:$D,0)),
        IF(
          COUNTIFS($C$2:C140,C140,$E$2:E140,E140,$D$2:D140,D140)=2,
          INDEX([1]DB!$B:$B,MATCH($E140,[1]DB!$D:$D,0)),
          INDEX([1]DB!$C:$C,MATCH($E140,[1]DB!$D:$D,0))
        )
      )
    )
  ),
  0
)</f>
        <v>0</v>
      </c>
      <c r="M140" s="9">
        <f>IFERROR(
  IF(
    D140&lt;&gt;"Tiphaine",
    0,
    IF(
      C140="",
      IF(
        COUNTIFS($B$2:B140,B140,$E$2:E140,E140,$D$2:D140,D140)=1,
        INDEX([1]DB!$A:$A,MATCH($E140,[1]DB!$D:$D,0)),
        IF(
          COUNTIFS($B$2:B140,B140,$E$2:E140,E140,$D$2:D140,D140)=2,
          INDEX([1]DB!$B:$B,MATCH($E140,[1]DB!$D:$D,0)),
          INDEX([1]DB!$C:$C,MATCH($E140,[1]DB!$D:$D,0))
        )
      ),
      IF(
        COUNTIFS($C$2:C140,C140,$E$2:E140,E140,$D$2:D140,D140)=1,
        INDEX([1]DB!$A:$A,MATCH($E140,[1]DB!$D:$D,0)),
        IF(
          COUNTIFS($C$2:C140,C140,$E$2:E140,E140,$D$2:D140,D140)=2,
          INDEX([1]DB!$B:$B,MATCH($E140,[1]DB!$D:$D,0)),
          INDEX([1]DB!$C:$C,MATCH($E140,[1]DB!$D:$D,0))
        )
      )
    )
  ),
  0
)</f>
        <v>0</v>
      </c>
      <c r="N140" s="9">
        <f>IFERROR(
  IF(
    D140&lt;&gt;"Catherine",
    0,
    IF(
      C140="",
      IF(
        COUNTIFS($B$2:B140,B140,$E$2:E140,E140,$D$2:D140,D140)=1,
        INDEX([1]DB!$A:$A,MATCH($E140,[1]DB!$D:$D,0)),
        IF(
          COUNTIFS($B$2:B140,B140,$E$2:E140,E140,$D$2:D140,D140)=2,
          INDEX([1]DB!$B:$B,MATCH($E140,[1]DB!$D:$D,0)),
          INDEX([1]DB!$C:$C,MATCH($E140,[1]DB!$D:$D,0))
        )
      ),
      IF(
        COUNTIFS($C$2:C140,C140,$E$2:E140,E140,$D$2:D140,D140)=1,
        INDEX([1]DB!$A:$A,MATCH($E140,[1]DB!$D:$D,0)),
        IF(
          COUNTIFS($C$2:C140,C140,$E$2:E140,E140,$D$2:D140,D140)=2,
          INDEX([1]DB!$B:$B,MATCH($E140,[1]DB!$D:$D,0)),
          INDEX([1]DB!$C:$C,MATCH($E140,[1]DB!$D:$D,0))
        )
      )
    )
  ),
  0
)</f>
        <v>0</v>
      </c>
      <c r="O140" s="20" t="str">
        <f t="shared" si="2"/>
        <v>Janvier</v>
      </c>
      <c r="P140" s="21" t="str">
        <f t="shared" ca="1" si="3"/>
        <v>NON</v>
      </c>
    </row>
    <row r="141" spans="1:16">
      <c r="A141" s="4"/>
      <c r="B141" s="5"/>
      <c r="C141" s="5"/>
      <c r="D141" s="6"/>
      <c r="E141" s="6"/>
      <c r="F141" s="7"/>
      <c r="G141" s="8" cm="1">
        <f t="array" ref="G141">IFERROR(
  IF(D141&lt;&gt;"Cédric",
     0,
     SUMPRODUCT(
       (TRIM(SUBSTITUTE(UPPER($B$2:$B141),CHAR(160),""))=TRIM(SUBSTITUTE(UPPER(B141),CHAR(160),"")))*
       (TRIM(SUBSTITUTE(UPPER($C$2:$C141),CHAR(160),""))=TRIM(SUBSTITUTE(UPPER(C141),CHAR(160),"")))*
       (TRIM(SUBSTITUTE(UPPER($D$2:$D141),CHAR(160),""))=TRIM(SUBSTITUTE(UPPER(D141),CHAR(160),"")))*
       (TRIM(SUBSTITUTE(UPPER($E$2:$E141),CHAR(160),""))=TRIM(SUBSTITUTE(UPPER(E141),CHAR(160),"")))
     )
  ),
  0
)</f>
        <v>0</v>
      </c>
      <c r="H141" s="8" cm="1">
        <f t="array" ref="H141">IFERROR(
  IF(D141&lt;&gt;"Geoffroy",
     0,
     SUMPRODUCT(
       (TRIM(SUBSTITUTE(UPPER($B$2:$B141),CHAR(160),""))=TRIM(SUBSTITUTE(UPPER(B141),CHAR(160),"")))*
       (TRIM(SUBSTITUTE(UPPER($C$2:$C141),CHAR(160),""))=TRIM(SUBSTITUTE(UPPER(C141),CHAR(160),"")))*
       (TRIM(SUBSTITUTE(UPPER($D$2:$D141),CHAR(160),""))=TRIM(SUBSTITUTE(UPPER(D141),CHAR(160),"")))*
       (TRIM(SUBSTITUTE(UPPER($E$2:$E141),CHAR(160),""))=TRIM(SUBSTITUTE(UPPER(E141),CHAR(160),"")))
     )
  ),
  0
)</f>
        <v>0</v>
      </c>
      <c r="I141" s="8" cm="1">
        <f t="array" ref="I141">IFERROR(
  IF(D141&lt;&gt;"Tiphaine",
     0,
     SUMPRODUCT(
       (TRIM(SUBSTITUTE(UPPER($B$2:$B141),CHAR(160),""))=TRIM(SUBSTITUTE(UPPER(B141),CHAR(160),"")))*
       (TRIM(SUBSTITUTE(UPPER($C$2:$C141),CHAR(160),""))=TRIM(SUBSTITUTE(UPPER(C141),CHAR(160),"")))*
       (TRIM(SUBSTITUTE(UPPER($D$2:$D141),CHAR(160),""))=TRIM(SUBSTITUTE(UPPER(D141),CHAR(160),"")))*
       (TRIM(SUBSTITUTE(UPPER($E$2:$E141),CHAR(160),""))=TRIM(SUBSTITUTE(UPPER(E141),CHAR(160),"")))
     )
  ),
  0
)</f>
        <v>0</v>
      </c>
      <c r="J141" s="8" cm="1">
        <f t="array" ref="J141">IFERROR(
  IF(D141&lt;&gt;"Catherine",
     0,
     SUMPRODUCT(
       (TRIM(SUBSTITUTE(UPPER($B$2:$B141),CHAR(160),""))=TRIM(SUBSTITUTE(UPPER(B141),CHAR(160),"")))*
       (TRIM(SUBSTITUTE(UPPER($C$2:$C141),CHAR(160),""))=TRIM(SUBSTITUTE(UPPER(C141),CHAR(160),"")))*
       (TRIM(SUBSTITUTE(UPPER($D$2:$D141),CHAR(160),""))=TRIM(SUBSTITUTE(UPPER(D141),CHAR(160),"")))*
       (TRIM(SUBSTITUTE(UPPER($E$2:$E141),CHAR(160),""))=TRIM(SUBSTITUTE(UPPER(E141),CHAR(160),"")))
     )
  ),
  0
)</f>
        <v>0</v>
      </c>
      <c r="K141" s="19">
        <f>IFERROR(
  IF(
    D141&lt;&gt;"Cédric",
    0,
    IF(
      C141="",
      IF(
        COUNTIFS($B$2:B141,B141,$E$2:E141,E141,$D$2:D141,D141)=1,
        INDEX([1]DB!$A:$A,MATCH($E141,[1]DB!$D:$D,0)),
        IF(
          COUNTIFS($B$2:B141,B141,$E$2:E141,E141,$D$2:D141,D141)=2,
          INDEX([1]DB!$B:$B,MATCH($E141,[1]DB!$D:$D,0)),
          INDEX([1]DB!$C:$C,MATCH($E141,[1]DB!$D:$D,0))
        )
      ),
      IF(
        COUNTIFS($C$2:C141,C141,$E$2:E141,E141,$D$2:D141,D141)=1,
        INDEX([1]DB!$A:$A,MATCH($E141,[1]DB!$D:$D,0)),
        IF(
          COUNTIFS($C$2:C141,C141,$E$2:E141,E141,$D$2:D141,D141)=2,
          INDEX([1]DB!$B:$B,MATCH($E141,[1]DB!$D:$D,0)),
          INDEX([1]DB!$C:$C,MATCH($E141,[1]DB!$D:$D,0))
        )
      )
    )
  ),
  0
)</f>
        <v>0</v>
      </c>
      <c r="L141" s="9">
        <f>IFERROR(
  IF(
    D141&lt;&gt;"Geoffroy",
    0,
    IF(
      C141="",
      IF(
        COUNTIFS($B$2:B141,B141,$E$2:E141,E141,$D$2:D141,D141)=1,
        INDEX([1]DB!$A:$A,MATCH($E141,[1]DB!$D:$D,0)),
        IF(
          COUNTIFS($B$2:B141,B141,$E$2:E141,E141,$D$2:D141,D141)=2,
          INDEX([1]DB!$B:$B,MATCH($E141,[1]DB!$D:$D,0)),
          INDEX([1]DB!$C:$C,MATCH($E141,[1]DB!$D:$D,0))
        )
      ),
      IF(
        COUNTIFS($C$2:C141,C141,$E$2:E141,E141,$D$2:D141,D141)=1,
        INDEX([1]DB!$A:$A,MATCH($E141,[1]DB!$D:$D,0)),
        IF(
          COUNTIFS($C$2:C141,C141,$E$2:E141,E141,$D$2:D141,D141)=2,
          INDEX([1]DB!$B:$B,MATCH($E141,[1]DB!$D:$D,0)),
          INDEX([1]DB!$C:$C,MATCH($E141,[1]DB!$D:$D,0))
        )
      )
    )
  ),
  0
)</f>
        <v>0</v>
      </c>
      <c r="M141" s="9">
        <f>IFERROR(
  IF(
    D141&lt;&gt;"Tiphaine",
    0,
    IF(
      C141="",
      IF(
        COUNTIFS($B$2:B141,B141,$E$2:E141,E141,$D$2:D141,D141)=1,
        INDEX([1]DB!$A:$A,MATCH($E141,[1]DB!$D:$D,0)),
        IF(
          COUNTIFS($B$2:B141,B141,$E$2:E141,E141,$D$2:D141,D141)=2,
          INDEX([1]DB!$B:$B,MATCH($E141,[1]DB!$D:$D,0)),
          INDEX([1]DB!$C:$C,MATCH($E141,[1]DB!$D:$D,0))
        )
      ),
      IF(
        COUNTIFS($C$2:C141,C141,$E$2:E141,E141,$D$2:D141,D141)=1,
        INDEX([1]DB!$A:$A,MATCH($E141,[1]DB!$D:$D,0)),
        IF(
          COUNTIFS($C$2:C141,C141,$E$2:E141,E141,$D$2:D141,D141)=2,
          INDEX([1]DB!$B:$B,MATCH($E141,[1]DB!$D:$D,0)),
          INDEX([1]DB!$C:$C,MATCH($E141,[1]DB!$D:$D,0))
        )
      )
    )
  ),
  0
)</f>
        <v>0</v>
      </c>
      <c r="N141" s="9">
        <f>IFERROR(
  IF(
    D141&lt;&gt;"Catherine",
    0,
    IF(
      C141="",
      IF(
        COUNTIFS($B$2:B141,B141,$E$2:E141,E141,$D$2:D141,D141)=1,
        INDEX([1]DB!$A:$A,MATCH($E141,[1]DB!$D:$D,0)),
        IF(
          COUNTIFS($B$2:B141,B141,$E$2:E141,E141,$D$2:D141,D141)=2,
          INDEX([1]DB!$B:$B,MATCH($E141,[1]DB!$D:$D,0)),
          INDEX([1]DB!$C:$C,MATCH($E141,[1]DB!$D:$D,0))
        )
      ),
      IF(
        COUNTIFS($C$2:C141,C141,$E$2:E141,E141,$D$2:D141,D141)=1,
        INDEX([1]DB!$A:$A,MATCH($E141,[1]DB!$D:$D,0)),
        IF(
          COUNTIFS($C$2:C141,C141,$E$2:E141,E141,$D$2:D141,D141)=2,
          INDEX([1]DB!$B:$B,MATCH($E141,[1]DB!$D:$D,0)),
          INDEX([1]DB!$C:$C,MATCH($E141,[1]DB!$D:$D,0))
        )
      )
    )
  ),
  0
)</f>
        <v>0</v>
      </c>
      <c r="O141" s="20" t="str">
        <f t="shared" si="2"/>
        <v>Janvier</v>
      </c>
      <c r="P141" s="21" t="str">
        <f t="shared" ca="1" si="3"/>
        <v>NON</v>
      </c>
    </row>
    <row r="142" spans="1:16">
      <c r="A142" s="4"/>
      <c r="B142" s="5"/>
      <c r="C142" s="5"/>
      <c r="D142" s="6"/>
      <c r="E142" s="6"/>
      <c r="F142" s="7"/>
      <c r="G142" s="8" cm="1">
        <f t="array" ref="G142">IFERROR(
  IF(D142&lt;&gt;"Cédric",
     0,
     SUMPRODUCT(
       (TRIM(SUBSTITUTE(UPPER($B$2:$B142),CHAR(160),""))=TRIM(SUBSTITUTE(UPPER(B142),CHAR(160),"")))*
       (TRIM(SUBSTITUTE(UPPER($C$2:$C142),CHAR(160),""))=TRIM(SUBSTITUTE(UPPER(C142),CHAR(160),"")))*
       (TRIM(SUBSTITUTE(UPPER($D$2:$D142),CHAR(160),""))=TRIM(SUBSTITUTE(UPPER(D142),CHAR(160),"")))*
       (TRIM(SUBSTITUTE(UPPER($E$2:$E142),CHAR(160),""))=TRIM(SUBSTITUTE(UPPER(E142),CHAR(160),"")))
     )
  ),
  0
)</f>
        <v>0</v>
      </c>
      <c r="H142" s="8" cm="1">
        <f t="array" ref="H142">IFERROR(
  IF(D142&lt;&gt;"Geoffroy",
     0,
     SUMPRODUCT(
       (TRIM(SUBSTITUTE(UPPER($B$2:$B142),CHAR(160),""))=TRIM(SUBSTITUTE(UPPER(B142),CHAR(160),"")))*
       (TRIM(SUBSTITUTE(UPPER($C$2:$C142),CHAR(160),""))=TRIM(SUBSTITUTE(UPPER(C142),CHAR(160),"")))*
       (TRIM(SUBSTITUTE(UPPER($D$2:$D142),CHAR(160),""))=TRIM(SUBSTITUTE(UPPER(D142),CHAR(160),"")))*
       (TRIM(SUBSTITUTE(UPPER($E$2:$E142),CHAR(160),""))=TRIM(SUBSTITUTE(UPPER(E142),CHAR(160),"")))
     )
  ),
  0
)</f>
        <v>0</v>
      </c>
      <c r="I142" s="8" cm="1">
        <f t="array" ref="I142">IFERROR(
  IF(D142&lt;&gt;"Tiphaine",
     0,
     SUMPRODUCT(
       (TRIM(SUBSTITUTE(UPPER($B$2:$B142),CHAR(160),""))=TRIM(SUBSTITUTE(UPPER(B142),CHAR(160),"")))*
       (TRIM(SUBSTITUTE(UPPER($C$2:$C142),CHAR(160),""))=TRIM(SUBSTITUTE(UPPER(C142),CHAR(160),"")))*
       (TRIM(SUBSTITUTE(UPPER($D$2:$D142),CHAR(160),""))=TRIM(SUBSTITUTE(UPPER(D142),CHAR(160),"")))*
       (TRIM(SUBSTITUTE(UPPER($E$2:$E142),CHAR(160),""))=TRIM(SUBSTITUTE(UPPER(E142),CHAR(160),"")))
     )
  ),
  0
)</f>
        <v>0</v>
      </c>
      <c r="J142" s="8" cm="1">
        <f t="array" ref="J142">IFERROR(
  IF(D142&lt;&gt;"Catherine",
     0,
     SUMPRODUCT(
       (TRIM(SUBSTITUTE(UPPER($B$2:$B142),CHAR(160),""))=TRIM(SUBSTITUTE(UPPER(B142),CHAR(160),"")))*
       (TRIM(SUBSTITUTE(UPPER($C$2:$C142),CHAR(160),""))=TRIM(SUBSTITUTE(UPPER(C142),CHAR(160),"")))*
       (TRIM(SUBSTITUTE(UPPER($D$2:$D142),CHAR(160),""))=TRIM(SUBSTITUTE(UPPER(D142),CHAR(160),"")))*
       (TRIM(SUBSTITUTE(UPPER($E$2:$E142),CHAR(160),""))=TRIM(SUBSTITUTE(UPPER(E142),CHAR(160),"")))
     )
  ),
  0
)</f>
        <v>0</v>
      </c>
      <c r="K142" s="19">
        <f>IFERROR(
  IF(
    D142&lt;&gt;"Cédric",
    0,
    IF(
      C142="",
      IF(
        COUNTIFS($B$2:B142,B142,$E$2:E142,E142,$D$2:D142,D142)=1,
        INDEX([1]DB!$A:$A,MATCH($E142,[1]DB!$D:$D,0)),
        IF(
          COUNTIFS($B$2:B142,B142,$E$2:E142,E142,$D$2:D142,D142)=2,
          INDEX([1]DB!$B:$B,MATCH($E142,[1]DB!$D:$D,0)),
          INDEX([1]DB!$C:$C,MATCH($E142,[1]DB!$D:$D,0))
        )
      ),
      IF(
        COUNTIFS($C$2:C142,C142,$E$2:E142,E142,$D$2:D142,D142)=1,
        INDEX([1]DB!$A:$A,MATCH($E142,[1]DB!$D:$D,0)),
        IF(
          COUNTIFS($C$2:C142,C142,$E$2:E142,E142,$D$2:D142,D142)=2,
          INDEX([1]DB!$B:$B,MATCH($E142,[1]DB!$D:$D,0)),
          INDEX([1]DB!$C:$C,MATCH($E142,[1]DB!$D:$D,0))
        )
      )
    )
  ),
  0
)</f>
        <v>0</v>
      </c>
      <c r="L142" s="9">
        <f>IFERROR(
  IF(
    D142&lt;&gt;"Geoffroy",
    0,
    IF(
      C142="",
      IF(
        COUNTIFS($B$2:B142,B142,$E$2:E142,E142,$D$2:D142,D142)=1,
        INDEX([1]DB!$A:$A,MATCH($E142,[1]DB!$D:$D,0)),
        IF(
          COUNTIFS($B$2:B142,B142,$E$2:E142,E142,$D$2:D142,D142)=2,
          INDEX([1]DB!$B:$B,MATCH($E142,[1]DB!$D:$D,0)),
          INDEX([1]DB!$C:$C,MATCH($E142,[1]DB!$D:$D,0))
        )
      ),
      IF(
        COUNTIFS($C$2:C142,C142,$E$2:E142,E142,$D$2:D142,D142)=1,
        INDEX([1]DB!$A:$A,MATCH($E142,[1]DB!$D:$D,0)),
        IF(
          COUNTIFS($C$2:C142,C142,$E$2:E142,E142,$D$2:D142,D142)=2,
          INDEX([1]DB!$B:$B,MATCH($E142,[1]DB!$D:$D,0)),
          INDEX([1]DB!$C:$C,MATCH($E142,[1]DB!$D:$D,0))
        )
      )
    )
  ),
  0
)</f>
        <v>0</v>
      </c>
      <c r="M142" s="9">
        <f>IFERROR(
  IF(
    D142&lt;&gt;"Tiphaine",
    0,
    IF(
      C142="",
      IF(
        COUNTIFS($B$2:B142,B142,$E$2:E142,E142,$D$2:D142,D142)=1,
        INDEX([1]DB!$A:$A,MATCH($E142,[1]DB!$D:$D,0)),
        IF(
          COUNTIFS($B$2:B142,B142,$E$2:E142,E142,$D$2:D142,D142)=2,
          INDEX([1]DB!$B:$B,MATCH($E142,[1]DB!$D:$D,0)),
          INDEX([1]DB!$C:$C,MATCH($E142,[1]DB!$D:$D,0))
        )
      ),
      IF(
        COUNTIFS($C$2:C142,C142,$E$2:E142,E142,$D$2:D142,D142)=1,
        INDEX([1]DB!$A:$A,MATCH($E142,[1]DB!$D:$D,0)),
        IF(
          COUNTIFS($C$2:C142,C142,$E$2:E142,E142,$D$2:D142,D142)=2,
          INDEX([1]DB!$B:$B,MATCH($E142,[1]DB!$D:$D,0)),
          INDEX([1]DB!$C:$C,MATCH($E142,[1]DB!$D:$D,0))
        )
      )
    )
  ),
  0
)</f>
        <v>0</v>
      </c>
      <c r="N142" s="9">
        <f>IFERROR(
  IF(
    D142&lt;&gt;"Catherine",
    0,
    IF(
      C142="",
      IF(
        COUNTIFS($B$2:B142,B142,$E$2:E142,E142,$D$2:D142,D142)=1,
        INDEX([1]DB!$A:$A,MATCH($E142,[1]DB!$D:$D,0)),
        IF(
          COUNTIFS($B$2:B142,B142,$E$2:E142,E142,$D$2:D142,D142)=2,
          INDEX([1]DB!$B:$B,MATCH($E142,[1]DB!$D:$D,0)),
          INDEX([1]DB!$C:$C,MATCH($E142,[1]DB!$D:$D,0))
        )
      ),
      IF(
        COUNTIFS($C$2:C142,C142,$E$2:E142,E142,$D$2:D142,D142)=1,
        INDEX([1]DB!$A:$A,MATCH($E142,[1]DB!$D:$D,0)),
        IF(
          COUNTIFS($C$2:C142,C142,$E$2:E142,E142,$D$2:D142,D142)=2,
          INDEX([1]DB!$B:$B,MATCH($E142,[1]DB!$D:$D,0)),
          INDEX([1]DB!$C:$C,MATCH($E142,[1]DB!$D:$D,0))
        )
      )
    )
  ),
  0
)</f>
        <v>0</v>
      </c>
      <c r="O142" s="20" t="str">
        <f t="shared" si="2"/>
        <v>Janvier</v>
      </c>
      <c r="P142" s="21" t="str">
        <f t="shared" ca="1" si="3"/>
        <v>NON</v>
      </c>
    </row>
    <row r="143" spans="1:16">
      <c r="A143" s="4"/>
      <c r="B143" s="5"/>
      <c r="C143" s="5"/>
      <c r="D143" s="6"/>
      <c r="E143" s="6"/>
      <c r="F143" s="7"/>
      <c r="G143" s="8" cm="1">
        <f t="array" ref="G143">IFERROR(
  IF(D143&lt;&gt;"Cédric",
     0,
     SUMPRODUCT(
       (TRIM(SUBSTITUTE(UPPER($B$2:$B143),CHAR(160),""))=TRIM(SUBSTITUTE(UPPER(B143),CHAR(160),"")))*
       (TRIM(SUBSTITUTE(UPPER($C$2:$C143),CHAR(160),""))=TRIM(SUBSTITUTE(UPPER(C143),CHAR(160),"")))*
       (TRIM(SUBSTITUTE(UPPER($D$2:$D143),CHAR(160),""))=TRIM(SUBSTITUTE(UPPER(D143),CHAR(160),"")))*
       (TRIM(SUBSTITUTE(UPPER($E$2:$E143),CHAR(160),""))=TRIM(SUBSTITUTE(UPPER(E143),CHAR(160),"")))
     )
  ),
  0
)</f>
        <v>0</v>
      </c>
      <c r="H143" s="8" cm="1">
        <f t="array" ref="H143">IFERROR(
  IF(D143&lt;&gt;"Geoffroy",
     0,
     SUMPRODUCT(
       (TRIM(SUBSTITUTE(UPPER($B$2:$B143),CHAR(160),""))=TRIM(SUBSTITUTE(UPPER(B143),CHAR(160),"")))*
       (TRIM(SUBSTITUTE(UPPER($C$2:$C143),CHAR(160),""))=TRIM(SUBSTITUTE(UPPER(C143),CHAR(160),"")))*
       (TRIM(SUBSTITUTE(UPPER($D$2:$D143),CHAR(160),""))=TRIM(SUBSTITUTE(UPPER(D143),CHAR(160),"")))*
       (TRIM(SUBSTITUTE(UPPER($E$2:$E143),CHAR(160),""))=TRIM(SUBSTITUTE(UPPER(E143),CHAR(160),"")))
     )
  ),
  0
)</f>
        <v>0</v>
      </c>
      <c r="I143" s="8" cm="1">
        <f t="array" ref="I143">IFERROR(
  IF(D143&lt;&gt;"Tiphaine",
     0,
     SUMPRODUCT(
       (TRIM(SUBSTITUTE(UPPER($B$2:$B143),CHAR(160),""))=TRIM(SUBSTITUTE(UPPER(B143),CHAR(160),"")))*
       (TRIM(SUBSTITUTE(UPPER($C$2:$C143),CHAR(160),""))=TRIM(SUBSTITUTE(UPPER(C143),CHAR(160),"")))*
       (TRIM(SUBSTITUTE(UPPER($D$2:$D143),CHAR(160),""))=TRIM(SUBSTITUTE(UPPER(D143),CHAR(160),"")))*
       (TRIM(SUBSTITUTE(UPPER($E$2:$E143),CHAR(160),""))=TRIM(SUBSTITUTE(UPPER(E143),CHAR(160),"")))
     )
  ),
  0
)</f>
        <v>0</v>
      </c>
      <c r="J143" s="8" cm="1">
        <f t="array" ref="J143">IFERROR(
  IF(D143&lt;&gt;"Catherine",
     0,
     SUMPRODUCT(
       (TRIM(SUBSTITUTE(UPPER($B$2:$B143),CHAR(160),""))=TRIM(SUBSTITUTE(UPPER(B143),CHAR(160),"")))*
       (TRIM(SUBSTITUTE(UPPER($C$2:$C143),CHAR(160),""))=TRIM(SUBSTITUTE(UPPER(C143),CHAR(160),"")))*
       (TRIM(SUBSTITUTE(UPPER($D$2:$D143),CHAR(160),""))=TRIM(SUBSTITUTE(UPPER(D143),CHAR(160),"")))*
       (TRIM(SUBSTITUTE(UPPER($E$2:$E143),CHAR(160),""))=TRIM(SUBSTITUTE(UPPER(E143),CHAR(160),"")))
     )
  ),
  0
)</f>
        <v>0</v>
      </c>
      <c r="K143" s="19">
        <f>IFERROR(
  IF(
    D143&lt;&gt;"Cédric",
    0,
    IF(
      C143="",
      IF(
        COUNTIFS($B$2:B143,B143,$E$2:E143,E143,$D$2:D143,D143)=1,
        INDEX([1]DB!$A:$A,MATCH($E143,[1]DB!$D:$D,0)),
        IF(
          COUNTIFS($B$2:B143,B143,$E$2:E143,E143,$D$2:D143,D143)=2,
          INDEX([1]DB!$B:$B,MATCH($E143,[1]DB!$D:$D,0)),
          INDEX([1]DB!$C:$C,MATCH($E143,[1]DB!$D:$D,0))
        )
      ),
      IF(
        COUNTIFS($C$2:C143,C143,$E$2:E143,E143,$D$2:D143,D143)=1,
        INDEX([1]DB!$A:$A,MATCH($E143,[1]DB!$D:$D,0)),
        IF(
          COUNTIFS($C$2:C143,C143,$E$2:E143,E143,$D$2:D143,D143)=2,
          INDEX([1]DB!$B:$B,MATCH($E143,[1]DB!$D:$D,0)),
          INDEX([1]DB!$C:$C,MATCH($E143,[1]DB!$D:$D,0))
        )
      )
    )
  ),
  0
)</f>
        <v>0</v>
      </c>
      <c r="L143" s="9">
        <f>IFERROR(
  IF(
    D143&lt;&gt;"Geoffroy",
    0,
    IF(
      C143="",
      IF(
        COUNTIFS($B$2:B143,B143,$E$2:E143,E143,$D$2:D143,D143)=1,
        INDEX([1]DB!$A:$A,MATCH($E143,[1]DB!$D:$D,0)),
        IF(
          COUNTIFS($B$2:B143,B143,$E$2:E143,E143,$D$2:D143,D143)=2,
          INDEX([1]DB!$B:$B,MATCH($E143,[1]DB!$D:$D,0)),
          INDEX([1]DB!$C:$C,MATCH($E143,[1]DB!$D:$D,0))
        )
      ),
      IF(
        COUNTIFS($C$2:C143,C143,$E$2:E143,E143,$D$2:D143,D143)=1,
        INDEX([1]DB!$A:$A,MATCH($E143,[1]DB!$D:$D,0)),
        IF(
          COUNTIFS($C$2:C143,C143,$E$2:E143,E143,$D$2:D143,D143)=2,
          INDEX([1]DB!$B:$B,MATCH($E143,[1]DB!$D:$D,0)),
          INDEX([1]DB!$C:$C,MATCH($E143,[1]DB!$D:$D,0))
        )
      )
    )
  ),
  0
)</f>
        <v>0</v>
      </c>
      <c r="M143" s="9">
        <f>IFERROR(
  IF(
    D143&lt;&gt;"Tiphaine",
    0,
    IF(
      C143="",
      IF(
        COUNTIFS($B$2:B143,B143,$E$2:E143,E143,$D$2:D143,D143)=1,
        INDEX([1]DB!$A:$A,MATCH($E143,[1]DB!$D:$D,0)),
        IF(
          COUNTIFS($B$2:B143,B143,$E$2:E143,E143,$D$2:D143,D143)=2,
          INDEX([1]DB!$B:$B,MATCH($E143,[1]DB!$D:$D,0)),
          INDEX([1]DB!$C:$C,MATCH($E143,[1]DB!$D:$D,0))
        )
      ),
      IF(
        COUNTIFS($C$2:C143,C143,$E$2:E143,E143,$D$2:D143,D143)=1,
        INDEX([1]DB!$A:$A,MATCH($E143,[1]DB!$D:$D,0)),
        IF(
          COUNTIFS($C$2:C143,C143,$E$2:E143,E143,$D$2:D143,D143)=2,
          INDEX([1]DB!$B:$B,MATCH($E143,[1]DB!$D:$D,0)),
          INDEX([1]DB!$C:$C,MATCH($E143,[1]DB!$D:$D,0))
        )
      )
    )
  ),
  0
)</f>
        <v>0</v>
      </c>
      <c r="N143" s="9">
        <f>IFERROR(
  IF(
    D143&lt;&gt;"Catherine",
    0,
    IF(
      C143="",
      IF(
        COUNTIFS($B$2:B143,B143,$E$2:E143,E143,$D$2:D143,D143)=1,
        INDEX([1]DB!$A:$A,MATCH($E143,[1]DB!$D:$D,0)),
        IF(
          COUNTIFS($B$2:B143,B143,$E$2:E143,E143,$D$2:D143,D143)=2,
          INDEX([1]DB!$B:$B,MATCH($E143,[1]DB!$D:$D,0)),
          INDEX([1]DB!$C:$C,MATCH($E143,[1]DB!$D:$D,0))
        )
      ),
      IF(
        COUNTIFS($C$2:C143,C143,$E$2:E143,E143,$D$2:D143,D143)=1,
        INDEX([1]DB!$A:$A,MATCH($E143,[1]DB!$D:$D,0)),
        IF(
          COUNTIFS($C$2:C143,C143,$E$2:E143,E143,$D$2:D143,D143)=2,
          INDEX([1]DB!$B:$B,MATCH($E143,[1]DB!$D:$D,0)),
          INDEX([1]DB!$C:$C,MATCH($E143,[1]DB!$D:$D,0))
        )
      )
    )
  ),
  0
)</f>
        <v>0</v>
      </c>
      <c r="O143" s="20" t="str">
        <f t="shared" si="2"/>
        <v>Janvier</v>
      </c>
      <c r="P143" s="21" t="str">
        <f t="shared" ca="1" si="3"/>
        <v>NON</v>
      </c>
    </row>
    <row r="144" spans="1:16">
      <c r="A144" s="4"/>
      <c r="B144" s="5"/>
      <c r="C144" s="5"/>
      <c r="D144" s="6"/>
      <c r="E144" s="6"/>
      <c r="F144" s="7"/>
      <c r="G144" s="8" cm="1">
        <f t="array" ref="G144">IFERROR(
  IF(D144&lt;&gt;"Cédric",
     0,
     SUMPRODUCT(
       (TRIM(SUBSTITUTE(UPPER($B$2:$B144),CHAR(160),""))=TRIM(SUBSTITUTE(UPPER(B144),CHAR(160),"")))*
       (TRIM(SUBSTITUTE(UPPER($C$2:$C144),CHAR(160),""))=TRIM(SUBSTITUTE(UPPER(C144),CHAR(160),"")))*
       (TRIM(SUBSTITUTE(UPPER($D$2:$D144),CHAR(160),""))=TRIM(SUBSTITUTE(UPPER(D144),CHAR(160),"")))*
       (TRIM(SUBSTITUTE(UPPER($E$2:$E144),CHAR(160),""))=TRIM(SUBSTITUTE(UPPER(E144),CHAR(160),"")))
     )
  ),
  0
)</f>
        <v>0</v>
      </c>
      <c r="H144" s="8" cm="1">
        <f t="array" ref="H144">IFERROR(
  IF(D144&lt;&gt;"Geoffroy",
     0,
     SUMPRODUCT(
       (TRIM(SUBSTITUTE(UPPER($B$2:$B144),CHAR(160),""))=TRIM(SUBSTITUTE(UPPER(B144),CHAR(160),"")))*
       (TRIM(SUBSTITUTE(UPPER($C$2:$C144),CHAR(160),""))=TRIM(SUBSTITUTE(UPPER(C144),CHAR(160),"")))*
       (TRIM(SUBSTITUTE(UPPER($D$2:$D144),CHAR(160),""))=TRIM(SUBSTITUTE(UPPER(D144),CHAR(160),"")))*
       (TRIM(SUBSTITUTE(UPPER($E$2:$E144),CHAR(160),""))=TRIM(SUBSTITUTE(UPPER(E144),CHAR(160),"")))
     )
  ),
  0
)</f>
        <v>0</v>
      </c>
      <c r="I144" s="8" cm="1">
        <f t="array" ref="I144">IFERROR(
  IF(D144&lt;&gt;"Tiphaine",
     0,
     SUMPRODUCT(
       (TRIM(SUBSTITUTE(UPPER($B$2:$B144),CHAR(160),""))=TRIM(SUBSTITUTE(UPPER(B144),CHAR(160),"")))*
       (TRIM(SUBSTITUTE(UPPER($C$2:$C144),CHAR(160),""))=TRIM(SUBSTITUTE(UPPER(C144),CHAR(160),"")))*
       (TRIM(SUBSTITUTE(UPPER($D$2:$D144),CHAR(160),""))=TRIM(SUBSTITUTE(UPPER(D144),CHAR(160),"")))*
       (TRIM(SUBSTITUTE(UPPER($E$2:$E144),CHAR(160),""))=TRIM(SUBSTITUTE(UPPER(E144),CHAR(160),"")))
     )
  ),
  0
)</f>
        <v>0</v>
      </c>
      <c r="J144" s="8" cm="1">
        <f t="array" ref="J144">IFERROR(
  IF(D144&lt;&gt;"Catherine",
     0,
     SUMPRODUCT(
       (TRIM(SUBSTITUTE(UPPER($B$2:$B144),CHAR(160),""))=TRIM(SUBSTITUTE(UPPER(B144),CHAR(160),"")))*
       (TRIM(SUBSTITUTE(UPPER($C$2:$C144),CHAR(160),""))=TRIM(SUBSTITUTE(UPPER(C144),CHAR(160),"")))*
       (TRIM(SUBSTITUTE(UPPER($D$2:$D144),CHAR(160),""))=TRIM(SUBSTITUTE(UPPER(D144),CHAR(160),"")))*
       (TRIM(SUBSTITUTE(UPPER($E$2:$E144),CHAR(160),""))=TRIM(SUBSTITUTE(UPPER(E144),CHAR(160),"")))
     )
  ),
  0
)</f>
        <v>0</v>
      </c>
      <c r="K144" s="19">
        <f>IFERROR(
  IF(
    D144&lt;&gt;"Cédric",
    0,
    IF(
      C144="",
      IF(
        COUNTIFS($B$2:B144,B144,$E$2:E144,E144,$D$2:D144,D144)=1,
        INDEX([1]DB!$A:$A,MATCH($E144,[1]DB!$D:$D,0)),
        IF(
          COUNTIFS($B$2:B144,B144,$E$2:E144,E144,$D$2:D144,D144)=2,
          INDEX([1]DB!$B:$B,MATCH($E144,[1]DB!$D:$D,0)),
          INDEX([1]DB!$C:$C,MATCH($E144,[1]DB!$D:$D,0))
        )
      ),
      IF(
        COUNTIFS($C$2:C144,C144,$E$2:E144,E144,$D$2:D144,D144)=1,
        INDEX([1]DB!$A:$A,MATCH($E144,[1]DB!$D:$D,0)),
        IF(
          COUNTIFS($C$2:C144,C144,$E$2:E144,E144,$D$2:D144,D144)=2,
          INDEX([1]DB!$B:$B,MATCH($E144,[1]DB!$D:$D,0)),
          INDEX([1]DB!$C:$C,MATCH($E144,[1]DB!$D:$D,0))
        )
      )
    )
  ),
  0
)</f>
        <v>0</v>
      </c>
      <c r="L144" s="9">
        <f>IFERROR(
  IF(
    D144&lt;&gt;"Geoffroy",
    0,
    IF(
      C144="",
      IF(
        COUNTIFS($B$2:B144,B144,$E$2:E144,E144,$D$2:D144,D144)=1,
        INDEX([1]DB!$A:$A,MATCH($E144,[1]DB!$D:$D,0)),
        IF(
          COUNTIFS($B$2:B144,B144,$E$2:E144,E144,$D$2:D144,D144)=2,
          INDEX([1]DB!$B:$B,MATCH($E144,[1]DB!$D:$D,0)),
          INDEX([1]DB!$C:$C,MATCH($E144,[1]DB!$D:$D,0))
        )
      ),
      IF(
        COUNTIFS($C$2:C144,C144,$E$2:E144,E144,$D$2:D144,D144)=1,
        INDEX([1]DB!$A:$A,MATCH($E144,[1]DB!$D:$D,0)),
        IF(
          COUNTIFS($C$2:C144,C144,$E$2:E144,E144,$D$2:D144,D144)=2,
          INDEX([1]DB!$B:$B,MATCH($E144,[1]DB!$D:$D,0)),
          INDEX([1]DB!$C:$C,MATCH($E144,[1]DB!$D:$D,0))
        )
      )
    )
  ),
  0
)</f>
        <v>0</v>
      </c>
      <c r="M144" s="9">
        <f>IFERROR(
  IF(
    D144&lt;&gt;"Tiphaine",
    0,
    IF(
      C144="",
      IF(
        COUNTIFS($B$2:B144,B144,$E$2:E144,E144,$D$2:D144,D144)=1,
        INDEX([1]DB!$A:$A,MATCH($E144,[1]DB!$D:$D,0)),
        IF(
          COUNTIFS($B$2:B144,B144,$E$2:E144,E144,$D$2:D144,D144)=2,
          INDEX([1]DB!$B:$B,MATCH($E144,[1]DB!$D:$D,0)),
          INDEX([1]DB!$C:$C,MATCH($E144,[1]DB!$D:$D,0))
        )
      ),
      IF(
        COUNTIFS($C$2:C144,C144,$E$2:E144,E144,$D$2:D144,D144)=1,
        INDEX([1]DB!$A:$A,MATCH($E144,[1]DB!$D:$D,0)),
        IF(
          COUNTIFS($C$2:C144,C144,$E$2:E144,E144,$D$2:D144,D144)=2,
          INDEX([1]DB!$B:$B,MATCH($E144,[1]DB!$D:$D,0)),
          INDEX([1]DB!$C:$C,MATCH($E144,[1]DB!$D:$D,0))
        )
      )
    )
  ),
  0
)</f>
        <v>0</v>
      </c>
      <c r="N144" s="9">
        <f>IFERROR(
  IF(
    D144&lt;&gt;"Catherine",
    0,
    IF(
      C144="",
      IF(
        COUNTIFS($B$2:B144,B144,$E$2:E144,E144,$D$2:D144,D144)=1,
        INDEX([1]DB!$A:$A,MATCH($E144,[1]DB!$D:$D,0)),
        IF(
          COUNTIFS($B$2:B144,B144,$E$2:E144,E144,$D$2:D144,D144)=2,
          INDEX([1]DB!$B:$B,MATCH($E144,[1]DB!$D:$D,0)),
          INDEX([1]DB!$C:$C,MATCH($E144,[1]DB!$D:$D,0))
        )
      ),
      IF(
        COUNTIFS($C$2:C144,C144,$E$2:E144,E144,$D$2:D144,D144)=1,
        INDEX([1]DB!$A:$A,MATCH($E144,[1]DB!$D:$D,0)),
        IF(
          COUNTIFS($C$2:C144,C144,$E$2:E144,E144,$D$2:D144,D144)=2,
          INDEX([1]DB!$B:$B,MATCH($E144,[1]DB!$D:$D,0)),
          INDEX([1]DB!$C:$C,MATCH($E144,[1]DB!$D:$D,0))
        )
      )
    )
  ),
  0
)</f>
        <v>0</v>
      </c>
      <c r="O144" s="20" t="str">
        <f t="shared" si="2"/>
        <v>Janvier</v>
      </c>
      <c r="P144" s="21" t="str">
        <f t="shared" ca="1" si="3"/>
        <v>NON</v>
      </c>
    </row>
    <row r="145" spans="1:16">
      <c r="A145" s="4"/>
      <c r="B145" s="5"/>
      <c r="C145" s="5"/>
      <c r="D145" s="6"/>
      <c r="E145" s="6"/>
      <c r="F145" s="7"/>
      <c r="G145" s="8" cm="1">
        <f t="array" ref="G145">IFERROR(
  IF(D145&lt;&gt;"Cédric",
     0,
     SUMPRODUCT(
       (TRIM(SUBSTITUTE(UPPER($B$2:$B145),CHAR(160),""))=TRIM(SUBSTITUTE(UPPER(B145),CHAR(160),"")))*
       (TRIM(SUBSTITUTE(UPPER($C$2:$C145),CHAR(160),""))=TRIM(SUBSTITUTE(UPPER(C145),CHAR(160),"")))*
       (TRIM(SUBSTITUTE(UPPER($D$2:$D145),CHAR(160),""))=TRIM(SUBSTITUTE(UPPER(D145),CHAR(160),"")))*
       (TRIM(SUBSTITUTE(UPPER($E$2:$E145),CHAR(160),""))=TRIM(SUBSTITUTE(UPPER(E145),CHAR(160),"")))
     )
  ),
  0
)</f>
        <v>0</v>
      </c>
      <c r="H145" s="8" cm="1">
        <f t="array" ref="H145">IFERROR(
  IF(D145&lt;&gt;"Geoffroy",
     0,
     SUMPRODUCT(
       (TRIM(SUBSTITUTE(UPPER($B$2:$B145),CHAR(160),""))=TRIM(SUBSTITUTE(UPPER(B145),CHAR(160),"")))*
       (TRIM(SUBSTITUTE(UPPER($C$2:$C145),CHAR(160),""))=TRIM(SUBSTITUTE(UPPER(C145),CHAR(160),"")))*
       (TRIM(SUBSTITUTE(UPPER($D$2:$D145),CHAR(160),""))=TRIM(SUBSTITUTE(UPPER(D145),CHAR(160),"")))*
       (TRIM(SUBSTITUTE(UPPER($E$2:$E145),CHAR(160),""))=TRIM(SUBSTITUTE(UPPER(E145),CHAR(160),"")))
     )
  ),
  0
)</f>
        <v>0</v>
      </c>
      <c r="I145" s="8" cm="1">
        <f t="array" ref="I145">IFERROR(
  IF(D145&lt;&gt;"Tiphaine",
     0,
     SUMPRODUCT(
       (TRIM(SUBSTITUTE(UPPER($B$2:$B145),CHAR(160),""))=TRIM(SUBSTITUTE(UPPER(B145),CHAR(160),"")))*
       (TRIM(SUBSTITUTE(UPPER($C$2:$C145),CHAR(160),""))=TRIM(SUBSTITUTE(UPPER(C145),CHAR(160),"")))*
       (TRIM(SUBSTITUTE(UPPER($D$2:$D145),CHAR(160),""))=TRIM(SUBSTITUTE(UPPER(D145),CHAR(160),"")))*
       (TRIM(SUBSTITUTE(UPPER($E$2:$E145),CHAR(160),""))=TRIM(SUBSTITUTE(UPPER(E145),CHAR(160),"")))
     )
  ),
  0
)</f>
        <v>0</v>
      </c>
      <c r="J145" s="8" cm="1">
        <f t="array" ref="J145">IFERROR(
  IF(D145&lt;&gt;"Catherine",
     0,
     SUMPRODUCT(
       (TRIM(SUBSTITUTE(UPPER($B$2:$B145),CHAR(160),""))=TRIM(SUBSTITUTE(UPPER(B145),CHAR(160),"")))*
       (TRIM(SUBSTITUTE(UPPER($C$2:$C145),CHAR(160),""))=TRIM(SUBSTITUTE(UPPER(C145),CHAR(160),"")))*
       (TRIM(SUBSTITUTE(UPPER($D$2:$D145),CHAR(160),""))=TRIM(SUBSTITUTE(UPPER(D145),CHAR(160),"")))*
       (TRIM(SUBSTITUTE(UPPER($E$2:$E145),CHAR(160),""))=TRIM(SUBSTITUTE(UPPER(E145),CHAR(160),"")))
     )
  ),
  0
)</f>
        <v>0</v>
      </c>
      <c r="K145" s="19">
        <f>IFERROR(
  IF(
    D145&lt;&gt;"Cédric",
    0,
    IF(
      C145="",
      IF(
        COUNTIFS($B$2:B145,B145,$E$2:E145,E145,$D$2:D145,D145)=1,
        INDEX([1]DB!$A:$A,MATCH($E145,[1]DB!$D:$D,0)),
        IF(
          COUNTIFS($B$2:B145,B145,$E$2:E145,E145,$D$2:D145,D145)=2,
          INDEX([1]DB!$B:$B,MATCH($E145,[1]DB!$D:$D,0)),
          INDEX([1]DB!$C:$C,MATCH($E145,[1]DB!$D:$D,0))
        )
      ),
      IF(
        COUNTIFS($C$2:C145,C145,$E$2:E145,E145,$D$2:D145,D145)=1,
        INDEX([1]DB!$A:$A,MATCH($E145,[1]DB!$D:$D,0)),
        IF(
          COUNTIFS($C$2:C145,C145,$E$2:E145,E145,$D$2:D145,D145)=2,
          INDEX([1]DB!$B:$B,MATCH($E145,[1]DB!$D:$D,0)),
          INDEX([1]DB!$C:$C,MATCH($E145,[1]DB!$D:$D,0))
        )
      )
    )
  ),
  0
)</f>
        <v>0</v>
      </c>
      <c r="L145" s="9">
        <f>IFERROR(
  IF(
    D145&lt;&gt;"Geoffroy",
    0,
    IF(
      C145="",
      IF(
        COUNTIFS($B$2:B145,B145,$E$2:E145,E145,$D$2:D145,D145)=1,
        INDEX([1]DB!$A:$A,MATCH($E145,[1]DB!$D:$D,0)),
        IF(
          COUNTIFS($B$2:B145,B145,$E$2:E145,E145,$D$2:D145,D145)=2,
          INDEX([1]DB!$B:$B,MATCH($E145,[1]DB!$D:$D,0)),
          INDEX([1]DB!$C:$C,MATCH($E145,[1]DB!$D:$D,0))
        )
      ),
      IF(
        COUNTIFS($C$2:C145,C145,$E$2:E145,E145,$D$2:D145,D145)=1,
        INDEX([1]DB!$A:$A,MATCH($E145,[1]DB!$D:$D,0)),
        IF(
          COUNTIFS($C$2:C145,C145,$E$2:E145,E145,$D$2:D145,D145)=2,
          INDEX([1]DB!$B:$B,MATCH($E145,[1]DB!$D:$D,0)),
          INDEX([1]DB!$C:$C,MATCH($E145,[1]DB!$D:$D,0))
        )
      )
    )
  ),
  0
)</f>
        <v>0</v>
      </c>
      <c r="M145" s="9">
        <f>IFERROR(
  IF(
    D145&lt;&gt;"Tiphaine",
    0,
    IF(
      C145="",
      IF(
        COUNTIFS($B$2:B145,B145,$E$2:E145,E145,$D$2:D145,D145)=1,
        INDEX([1]DB!$A:$A,MATCH($E145,[1]DB!$D:$D,0)),
        IF(
          COUNTIFS($B$2:B145,B145,$E$2:E145,E145,$D$2:D145,D145)=2,
          INDEX([1]DB!$B:$B,MATCH($E145,[1]DB!$D:$D,0)),
          INDEX([1]DB!$C:$C,MATCH($E145,[1]DB!$D:$D,0))
        )
      ),
      IF(
        COUNTIFS($C$2:C145,C145,$E$2:E145,E145,$D$2:D145,D145)=1,
        INDEX([1]DB!$A:$A,MATCH($E145,[1]DB!$D:$D,0)),
        IF(
          COUNTIFS($C$2:C145,C145,$E$2:E145,E145,$D$2:D145,D145)=2,
          INDEX([1]DB!$B:$B,MATCH($E145,[1]DB!$D:$D,0)),
          INDEX([1]DB!$C:$C,MATCH($E145,[1]DB!$D:$D,0))
        )
      )
    )
  ),
  0
)</f>
        <v>0</v>
      </c>
      <c r="N145" s="9">
        <f>IFERROR(
  IF(
    D145&lt;&gt;"Catherine",
    0,
    IF(
      C145="",
      IF(
        COUNTIFS($B$2:B145,B145,$E$2:E145,E145,$D$2:D145,D145)=1,
        INDEX([1]DB!$A:$A,MATCH($E145,[1]DB!$D:$D,0)),
        IF(
          COUNTIFS($B$2:B145,B145,$E$2:E145,E145,$D$2:D145,D145)=2,
          INDEX([1]DB!$B:$B,MATCH($E145,[1]DB!$D:$D,0)),
          INDEX([1]DB!$C:$C,MATCH($E145,[1]DB!$D:$D,0))
        )
      ),
      IF(
        COUNTIFS($C$2:C145,C145,$E$2:E145,E145,$D$2:D145,D145)=1,
        INDEX([1]DB!$A:$A,MATCH($E145,[1]DB!$D:$D,0)),
        IF(
          COUNTIFS($C$2:C145,C145,$E$2:E145,E145,$D$2:D145,D145)=2,
          INDEX([1]DB!$B:$B,MATCH($E145,[1]DB!$D:$D,0)),
          INDEX([1]DB!$C:$C,MATCH($E145,[1]DB!$D:$D,0))
        )
      )
    )
  ),
  0
)</f>
        <v>0</v>
      </c>
      <c r="O145" s="20" t="str">
        <f t="shared" si="2"/>
        <v>Janvier</v>
      </c>
      <c r="P145" s="21" t="str">
        <f t="shared" ca="1" si="3"/>
        <v>NON</v>
      </c>
    </row>
    <row r="146" spans="1:16">
      <c r="A146" s="4"/>
      <c r="B146" s="5"/>
      <c r="C146" s="5"/>
      <c r="D146" s="6"/>
      <c r="E146" s="6"/>
      <c r="F146" s="7"/>
      <c r="G146" s="8" cm="1">
        <f t="array" ref="G146">IFERROR(
  IF(D146&lt;&gt;"Cédric",
     0,
     SUMPRODUCT(
       (TRIM(SUBSTITUTE(UPPER($B$2:$B146),CHAR(160),""))=TRIM(SUBSTITUTE(UPPER(B146),CHAR(160),"")))*
       (TRIM(SUBSTITUTE(UPPER($C$2:$C146),CHAR(160),""))=TRIM(SUBSTITUTE(UPPER(C146),CHAR(160),"")))*
       (TRIM(SUBSTITUTE(UPPER($D$2:$D146),CHAR(160),""))=TRIM(SUBSTITUTE(UPPER(D146),CHAR(160),"")))*
       (TRIM(SUBSTITUTE(UPPER($E$2:$E146),CHAR(160),""))=TRIM(SUBSTITUTE(UPPER(E146),CHAR(160),"")))
     )
  ),
  0
)</f>
        <v>0</v>
      </c>
      <c r="H146" s="8" cm="1">
        <f t="array" ref="H146">IFERROR(
  IF(D146&lt;&gt;"Geoffroy",
     0,
     SUMPRODUCT(
       (TRIM(SUBSTITUTE(UPPER($B$2:$B146),CHAR(160),""))=TRIM(SUBSTITUTE(UPPER(B146),CHAR(160),"")))*
       (TRIM(SUBSTITUTE(UPPER($C$2:$C146),CHAR(160),""))=TRIM(SUBSTITUTE(UPPER(C146),CHAR(160),"")))*
       (TRIM(SUBSTITUTE(UPPER($D$2:$D146),CHAR(160),""))=TRIM(SUBSTITUTE(UPPER(D146),CHAR(160),"")))*
       (TRIM(SUBSTITUTE(UPPER($E$2:$E146),CHAR(160),""))=TRIM(SUBSTITUTE(UPPER(E146),CHAR(160),"")))
     )
  ),
  0
)</f>
        <v>0</v>
      </c>
      <c r="I146" s="8" cm="1">
        <f t="array" ref="I146">IFERROR(
  IF(D146&lt;&gt;"Tiphaine",
     0,
     SUMPRODUCT(
       (TRIM(SUBSTITUTE(UPPER($B$2:$B146),CHAR(160),""))=TRIM(SUBSTITUTE(UPPER(B146),CHAR(160),"")))*
       (TRIM(SUBSTITUTE(UPPER($C$2:$C146),CHAR(160),""))=TRIM(SUBSTITUTE(UPPER(C146),CHAR(160),"")))*
       (TRIM(SUBSTITUTE(UPPER($D$2:$D146),CHAR(160),""))=TRIM(SUBSTITUTE(UPPER(D146),CHAR(160),"")))*
       (TRIM(SUBSTITUTE(UPPER($E$2:$E146),CHAR(160),""))=TRIM(SUBSTITUTE(UPPER(E146),CHAR(160),"")))
     )
  ),
  0
)</f>
        <v>0</v>
      </c>
      <c r="J146" s="8" cm="1">
        <f t="array" ref="J146">IFERROR(
  IF(D146&lt;&gt;"Catherine",
     0,
     SUMPRODUCT(
       (TRIM(SUBSTITUTE(UPPER($B$2:$B146),CHAR(160),""))=TRIM(SUBSTITUTE(UPPER(B146),CHAR(160),"")))*
       (TRIM(SUBSTITUTE(UPPER($C$2:$C146),CHAR(160),""))=TRIM(SUBSTITUTE(UPPER(C146),CHAR(160),"")))*
       (TRIM(SUBSTITUTE(UPPER($D$2:$D146),CHAR(160),""))=TRIM(SUBSTITUTE(UPPER(D146),CHAR(160),"")))*
       (TRIM(SUBSTITUTE(UPPER($E$2:$E146),CHAR(160),""))=TRIM(SUBSTITUTE(UPPER(E146),CHAR(160),"")))
     )
  ),
  0
)</f>
        <v>0</v>
      </c>
      <c r="K146" s="19">
        <f>IFERROR(
  IF(
    D146&lt;&gt;"Cédric",
    0,
    IF(
      C146="",
      IF(
        COUNTIFS($B$2:B146,B146,$E$2:E146,E146,$D$2:D146,D146)=1,
        INDEX([1]DB!$A:$A,MATCH($E146,[1]DB!$D:$D,0)),
        IF(
          COUNTIFS($B$2:B146,B146,$E$2:E146,E146,$D$2:D146,D146)=2,
          INDEX([1]DB!$B:$B,MATCH($E146,[1]DB!$D:$D,0)),
          INDEX([1]DB!$C:$C,MATCH($E146,[1]DB!$D:$D,0))
        )
      ),
      IF(
        COUNTIFS($C$2:C146,C146,$E$2:E146,E146,$D$2:D146,D146)=1,
        INDEX([1]DB!$A:$A,MATCH($E146,[1]DB!$D:$D,0)),
        IF(
          COUNTIFS($C$2:C146,C146,$E$2:E146,E146,$D$2:D146,D146)=2,
          INDEX([1]DB!$B:$B,MATCH($E146,[1]DB!$D:$D,0)),
          INDEX([1]DB!$C:$C,MATCH($E146,[1]DB!$D:$D,0))
        )
      )
    )
  ),
  0
)</f>
        <v>0</v>
      </c>
      <c r="L146" s="9">
        <f>IFERROR(
  IF(
    D146&lt;&gt;"Geoffroy",
    0,
    IF(
      C146="",
      IF(
        COUNTIFS($B$2:B146,B146,$E$2:E146,E146,$D$2:D146,D146)=1,
        INDEX([1]DB!$A:$A,MATCH($E146,[1]DB!$D:$D,0)),
        IF(
          COUNTIFS($B$2:B146,B146,$E$2:E146,E146,$D$2:D146,D146)=2,
          INDEX([1]DB!$B:$B,MATCH($E146,[1]DB!$D:$D,0)),
          INDEX([1]DB!$C:$C,MATCH($E146,[1]DB!$D:$D,0))
        )
      ),
      IF(
        COUNTIFS($C$2:C146,C146,$E$2:E146,E146,$D$2:D146,D146)=1,
        INDEX([1]DB!$A:$A,MATCH($E146,[1]DB!$D:$D,0)),
        IF(
          COUNTIFS($C$2:C146,C146,$E$2:E146,E146,$D$2:D146,D146)=2,
          INDEX([1]DB!$B:$B,MATCH($E146,[1]DB!$D:$D,0)),
          INDEX([1]DB!$C:$C,MATCH($E146,[1]DB!$D:$D,0))
        )
      )
    )
  ),
  0
)</f>
        <v>0</v>
      </c>
      <c r="M146" s="9">
        <f>IFERROR(
  IF(
    D146&lt;&gt;"Tiphaine",
    0,
    IF(
      C146="",
      IF(
        COUNTIFS($B$2:B146,B146,$E$2:E146,E146,$D$2:D146,D146)=1,
        INDEX([1]DB!$A:$A,MATCH($E146,[1]DB!$D:$D,0)),
        IF(
          COUNTIFS($B$2:B146,B146,$E$2:E146,E146,$D$2:D146,D146)=2,
          INDEX([1]DB!$B:$B,MATCH($E146,[1]DB!$D:$D,0)),
          INDEX([1]DB!$C:$C,MATCH($E146,[1]DB!$D:$D,0))
        )
      ),
      IF(
        COUNTIFS($C$2:C146,C146,$E$2:E146,E146,$D$2:D146,D146)=1,
        INDEX([1]DB!$A:$A,MATCH($E146,[1]DB!$D:$D,0)),
        IF(
          COUNTIFS($C$2:C146,C146,$E$2:E146,E146,$D$2:D146,D146)=2,
          INDEX([1]DB!$B:$B,MATCH($E146,[1]DB!$D:$D,0)),
          INDEX([1]DB!$C:$C,MATCH($E146,[1]DB!$D:$D,0))
        )
      )
    )
  ),
  0
)</f>
        <v>0</v>
      </c>
      <c r="N146" s="9">
        <f>IFERROR(
  IF(
    D146&lt;&gt;"Catherine",
    0,
    IF(
      C146="",
      IF(
        COUNTIFS($B$2:B146,B146,$E$2:E146,E146,$D$2:D146,D146)=1,
        INDEX([1]DB!$A:$A,MATCH($E146,[1]DB!$D:$D,0)),
        IF(
          COUNTIFS($B$2:B146,B146,$E$2:E146,E146,$D$2:D146,D146)=2,
          INDEX([1]DB!$B:$B,MATCH($E146,[1]DB!$D:$D,0)),
          INDEX([1]DB!$C:$C,MATCH($E146,[1]DB!$D:$D,0))
        )
      ),
      IF(
        COUNTIFS($C$2:C146,C146,$E$2:E146,E146,$D$2:D146,D146)=1,
        INDEX([1]DB!$A:$A,MATCH($E146,[1]DB!$D:$D,0)),
        IF(
          COUNTIFS($C$2:C146,C146,$E$2:E146,E146,$D$2:D146,D146)=2,
          INDEX([1]DB!$B:$B,MATCH($E146,[1]DB!$D:$D,0)),
          INDEX([1]DB!$C:$C,MATCH($E146,[1]DB!$D:$D,0))
        )
      )
    )
  ),
  0
)</f>
        <v>0</v>
      </c>
      <c r="O146" s="20" t="str">
        <f t="shared" si="2"/>
        <v>Janvier</v>
      </c>
      <c r="P146" s="21" t="str">
        <f t="shared" ca="1" si="3"/>
        <v>NON</v>
      </c>
    </row>
    <row r="147" spans="1:16">
      <c r="A147" s="4"/>
      <c r="B147" s="5"/>
      <c r="C147" s="5"/>
      <c r="D147" s="6"/>
      <c r="E147" s="6"/>
      <c r="F147" s="7"/>
      <c r="G147" s="8" cm="1">
        <f t="array" ref="G147">IFERROR(
  IF(D147&lt;&gt;"Cédric",
     0,
     SUMPRODUCT(
       (TRIM(SUBSTITUTE(UPPER($B$2:$B147),CHAR(160),""))=TRIM(SUBSTITUTE(UPPER(B147),CHAR(160),"")))*
       (TRIM(SUBSTITUTE(UPPER($C$2:$C147),CHAR(160),""))=TRIM(SUBSTITUTE(UPPER(C147),CHAR(160),"")))*
       (TRIM(SUBSTITUTE(UPPER($D$2:$D147),CHAR(160),""))=TRIM(SUBSTITUTE(UPPER(D147),CHAR(160),"")))*
       (TRIM(SUBSTITUTE(UPPER($E$2:$E147),CHAR(160),""))=TRIM(SUBSTITUTE(UPPER(E147),CHAR(160),"")))
     )
  ),
  0
)</f>
        <v>0</v>
      </c>
      <c r="H147" s="8" cm="1">
        <f t="array" ref="H147">IFERROR(
  IF(D147&lt;&gt;"Geoffroy",
     0,
     SUMPRODUCT(
       (TRIM(SUBSTITUTE(UPPER($B$2:$B147),CHAR(160),""))=TRIM(SUBSTITUTE(UPPER(B147),CHAR(160),"")))*
       (TRIM(SUBSTITUTE(UPPER($C$2:$C147),CHAR(160),""))=TRIM(SUBSTITUTE(UPPER(C147),CHAR(160),"")))*
       (TRIM(SUBSTITUTE(UPPER($D$2:$D147),CHAR(160),""))=TRIM(SUBSTITUTE(UPPER(D147),CHAR(160),"")))*
       (TRIM(SUBSTITUTE(UPPER($E$2:$E147),CHAR(160),""))=TRIM(SUBSTITUTE(UPPER(E147),CHAR(160),"")))
     )
  ),
  0
)</f>
        <v>0</v>
      </c>
      <c r="I147" s="8" cm="1">
        <f t="array" ref="I147">IFERROR(
  IF(D147&lt;&gt;"Tiphaine",
     0,
     SUMPRODUCT(
       (TRIM(SUBSTITUTE(UPPER($B$2:$B147),CHAR(160),""))=TRIM(SUBSTITUTE(UPPER(B147),CHAR(160),"")))*
       (TRIM(SUBSTITUTE(UPPER($C$2:$C147),CHAR(160),""))=TRIM(SUBSTITUTE(UPPER(C147),CHAR(160),"")))*
       (TRIM(SUBSTITUTE(UPPER($D$2:$D147),CHAR(160),""))=TRIM(SUBSTITUTE(UPPER(D147),CHAR(160),"")))*
       (TRIM(SUBSTITUTE(UPPER($E$2:$E147),CHAR(160),""))=TRIM(SUBSTITUTE(UPPER(E147),CHAR(160),"")))
     )
  ),
  0
)</f>
        <v>0</v>
      </c>
      <c r="J147" s="8" cm="1">
        <f t="array" ref="J147">IFERROR(
  IF(D147&lt;&gt;"Catherine",
     0,
     SUMPRODUCT(
       (TRIM(SUBSTITUTE(UPPER($B$2:$B147),CHAR(160),""))=TRIM(SUBSTITUTE(UPPER(B147),CHAR(160),"")))*
       (TRIM(SUBSTITUTE(UPPER($C$2:$C147),CHAR(160),""))=TRIM(SUBSTITUTE(UPPER(C147),CHAR(160),"")))*
       (TRIM(SUBSTITUTE(UPPER($D$2:$D147),CHAR(160),""))=TRIM(SUBSTITUTE(UPPER(D147),CHAR(160),"")))*
       (TRIM(SUBSTITUTE(UPPER($E$2:$E147),CHAR(160),""))=TRIM(SUBSTITUTE(UPPER(E147),CHAR(160),"")))
     )
  ),
  0
)</f>
        <v>0</v>
      </c>
      <c r="K147" s="19">
        <f>IFERROR(
  IF(
    D147&lt;&gt;"Cédric",
    0,
    IF(
      C147="",
      IF(
        COUNTIFS($B$2:B147,B147,$E$2:E147,E147,$D$2:D147,D147)=1,
        INDEX([1]DB!$A:$A,MATCH($E147,[1]DB!$D:$D,0)),
        IF(
          COUNTIFS($B$2:B147,B147,$E$2:E147,E147,$D$2:D147,D147)=2,
          INDEX([1]DB!$B:$B,MATCH($E147,[1]DB!$D:$D,0)),
          INDEX([1]DB!$C:$C,MATCH($E147,[1]DB!$D:$D,0))
        )
      ),
      IF(
        COUNTIFS($C$2:C147,C147,$E$2:E147,E147,$D$2:D147,D147)=1,
        INDEX([1]DB!$A:$A,MATCH($E147,[1]DB!$D:$D,0)),
        IF(
          COUNTIFS($C$2:C147,C147,$E$2:E147,E147,$D$2:D147,D147)=2,
          INDEX([1]DB!$B:$B,MATCH($E147,[1]DB!$D:$D,0)),
          INDEX([1]DB!$C:$C,MATCH($E147,[1]DB!$D:$D,0))
        )
      )
    )
  ),
  0
)</f>
        <v>0</v>
      </c>
      <c r="L147" s="9">
        <f>IFERROR(
  IF(
    D147&lt;&gt;"Geoffroy",
    0,
    IF(
      C147="",
      IF(
        COUNTIFS($B$2:B147,B147,$E$2:E147,E147,$D$2:D147,D147)=1,
        INDEX([1]DB!$A:$A,MATCH($E147,[1]DB!$D:$D,0)),
        IF(
          COUNTIFS($B$2:B147,B147,$E$2:E147,E147,$D$2:D147,D147)=2,
          INDEX([1]DB!$B:$B,MATCH($E147,[1]DB!$D:$D,0)),
          INDEX([1]DB!$C:$C,MATCH($E147,[1]DB!$D:$D,0))
        )
      ),
      IF(
        COUNTIFS($C$2:C147,C147,$E$2:E147,E147,$D$2:D147,D147)=1,
        INDEX([1]DB!$A:$A,MATCH($E147,[1]DB!$D:$D,0)),
        IF(
          COUNTIFS($C$2:C147,C147,$E$2:E147,E147,$D$2:D147,D147)=2,
          INDEX([1]DB!$B:$B,MATCH($E147,[1]DB!$D:$D,0)),
          INDEX([1]DB!$C:$C,MATCH($E147,[1]DB!$D:$D,0))
        )
      )
    )
  ),
  0
)</f>
        <v>0</v>
      </c>
      <c r="M147" s="9">
        <f>IFERROR(
  IF(
    D147&lt;&gt;"Tiphaine",
    0,
    IF(
      C147="",
      IF(
        COUNTIFS($B$2:B147,B147,$E$2:E147,E147,$D$2:D147,D147)=1,
        INDEX([1]DB!$A:$A,MATCH($E147,[1]DB!$D:$D,0)),
        IF(
          COUNTIFS($B$2:B147,B147,$E$2:E147,E147,$D$2:D147,D147)=2,
          INDEX([1]DB!$B:$B,MATCH($E147,[1]DB!$D:$D,0)),
          INDEX([1]DB!$C:$C,MATCH($E147,[1]DB!$D:$D,0))
        )
      ),
      IF(
        COUNTIFS($C$2:C147,C147,$E$2:E147,E147,$D$2:D147,D147)=1,
        INDEX([1]DB!$A:$A,MATCH($E147,[1]DB!$D:$D,0)),
        IF(
          COUNTIFS($C$2:C147,C147,$E$2:E147,E147,$D$2:D147,D147)=2,
          INDEX([1]DB!$B:$B,MATCH($E147,[1]DB!$D:$D,0)),
          INDEX([1]DB!$C:$C,MATCH($E147,[1]DB!$D:$D,0))
        )
      )
    )
  ),
  0
)</f>
        <v>0</v>
      </c>
      <c r="N147" s="9">
        <f>IFERROR(
  IF(
    D147&lt;&gt;"Catherine",
    0,
    IF(
      C147="",
      IF(
        COUNTIFS($B$2:B147,B147,$E$2:E147,E147,$D$2:D147,D147)=1,
        INDEX([1]DB!$A:$A,MATCH($E147,[1]DB!$D:$D,0)),
        IF(
          COUNTIFS($B$2:B147,B147,$E$2:E147,E147,$D$2:D147,D147)=2,
          INDEX([1]DB!$B:$B,MATCH($E147,[1]DB!$D:$D,0)),
          INDEX([1]DB!$C:$C,MATCH($E147,[1]DB!$D:$D,0))
        )
      ),
      IF(
        COUNTIFS($C$2:C147,C147,$E$2:E147,E147,$D$2:D147,D147)=1,
        INDEX([1]DB!$A:$A,MATCH($E147,[1]DB!$D:$D,0)),
        IF(
          COUNTIFS($C$2:C147,C147,$E$2:E147,E147,$D$2:D147,D147)=2,
          INDEX([1]DB!$B:$B,MATCH($E147,[1]DB!$D:$D,0)),
          INDEX([1]DB!$C:$C,MATCH($E147,[1]DB!$D:$D,0))
        )
      )
    )
  ),
  0
)</f>
        <v>0</v>
      </c>
      <c r="O147" s="20" t="str">
        <f t="shared" si="2"/>
        <v>Janvier</v>
      </c>
      <c r="P147" s="21" t="str">
        <f t="shared" ca="1" si="3"/>
        <v>NON</v>
      </c>
    </row>
    <row r="148" spans="1:16">
      <c r="A148" s="4"/>
      <c r="B148" s="5"/>
      <c r="C148" s="5"/>
      <c r="D148" s="6"/>
      <c r="E148" s="6"/>
      <c r="F148" s="7"/>
      <c r="G148" s="8" cm="1">
        <f t="array" ref="G148">IFERROR(
  IF(D148&lt;&gt;"Cédric",
     0,
     SUMPRODUCT(
       (TRIM(SUBSTITUTE(UPPER($B$2:$B148),CHAR(160),""))=TRIM(SUBSTITUTE(UPPER(B148),CHAR(160),"")))*
       (TRIM(SUBSTITUTE(UPPER($C$2:$C148),CHAR(160),""))=TRIM(SUBSTITUTE(UPPER(C148),CHAR(160),"")))*
       (TRIM(SUBSTITUTE(UPPER($D$2:$D148),CHAR(160),""))=TRIM(SUBSTITUTE(UPPER(D148),CHAR(160),"")))*
       (TRIM(SUBSTITUTE(UPPER($E$2:$E148),CHAR(160),""))=TRIM(SUBSTITUTE(UPPER(E148),CHAR(160),"")))
     )
  ),
  0
)</f>
        <v>0</v>
      </c>
      <c r="H148" s="8" cm="1">
        <f t="array" ref="H148">IFERROR(
  IF(D148&lt;&gt;"Geoffroy",
     0,
     SUMPRODUCT(
       (TRIM(SUBSTITUTE(UPPER($B$2:$B148),CHAR(160),""))=TRIM(SUBSTITUTE(UPPER(B148),CHAR(160),"")))*
       (TRIM(SUBSTITUTE(UPPER($C$2:$C148),CHAR(160),""))=TRIM(SUBSTITUTE(UPPER(C148),CHAR(160),"")))*
       (TRIM(SUBSTITUTE(UPPER($D$2:$D148),CHAR(160),""))=TRIM(SUBSTITUTE(UPPER(D148),CHAR(160),"")))*
       (TRIM(SUBSTITUTE(UPPER($E$2:$E148),CHAR(160),""))=TRIM(SUBSTITUTE(UPPER(E148),CHAR(160),"")))
     )
  ),
  0
)</f>
        <v>0</v>
      </c>
      <c r="I148" s="8" cm="1">
        <f t="array" ref="I148">IFERROR(
  IF(D148&lt;&gt;"Tiphaine",
     0,
     SUMPRODUCT(
       (TRIM(SUBSTITUTE(UPPER($B$2:$B148),CHAR(160),""))=TRIM(SUBSTITUTE(UPPER(B148),CHAR(160),"")))*
       (TRIM(SUBSTITUTE(UPPER($C$2:$C148),CHAR(160),""))=TRIM(SUBSTITUTE(UPPER(C148),CHAR(160),"")))*
       (TRIM(SUBSTITUTE(UPPER($D$2:$D148),CHAR(160),""))=TRIM(SUBSTITUTE(UPPER(D148),CHAR(160),"")))*
       (TRIM(SUBSTITUTE(UPPER($E$2:$E148),CHAR(160),""))=TRIM(SUBSTITUTE(UPPER(E148),CHAR(160),"")))
     )
  ),
  0
)</f>
        <v>0</v>
      </c>
      <c r="J148" s="8" cm="1">
        <f t="array" ref="J148">IFERROR(
  IF(D148&lt;&gt;"Catherine",
     0,
     SUMPRODUCT(
       (TRIM(SUBSTITUTE(UPPER($B$2:$B148),CHAR(160),""))=TRIM(SUBSTITUTE(UPPER(B148),CHAR(160),"")))*
       (TRIM(SUBSTITUTE(UPPER($C$2:$C148),CHAR(160),""))=TRIM(SUBSTITUTE(UPPER(C148),CHAR(160),"")))*
       (TRIM(SUBSTITUTE(UPPER($D$2:$D148),CHAR(160),""))=TRIM(SUBSTITUTE(UPPER(D148),CHAR(160),"")))*
       (TRIM(SUBSTITUTE(UPPER($E$2:$E148),CHAR(160),""))=TRIM(SUBSTITUTE(UPPER(E148),CHAR(160),"")))
     )
  ),
  0
)</f>
        <v>0</v>
      </c>
      <c r="K148" s="19">
        <f>IFERROR(
  IF(
    D148&lt;&gt;"Cédric",
    0,
    IF(
      C148="",
      IF(
        COUNTIFS($B$2:B148,B148,$E$2:E148,E148,$D$2:D148,D148)=1,
        INDEX([1]DB!$A:$A,MATCH($E148,[1]DB!$D:$D,0)),
        IF(
          COUNTIFS($B$2:B148,B148,$E$2:E148,E148,$D$2:D148,D148)=2,
          INDEX([1]DB!$B:$B,MATCH($E148,[1]DB!$D:$D,0)),
          INDEX([1]DB!$C:$C,MATCH($E148,[1]DB!$D:$D,0))
        )
      ),
      IF(
        COUNTIFS($C$2:C148,C148,$E$2:E148,E148,$D$2:D148,D148)=1,
        INDEX([1]DB!$A:$A,MATCH($E148,[1]DB!$D:$D,0)),
        IF(
          COUNTIFS($C$2:C148,C148,$E$2:E148,E148,$D$2:D148,D148)=2,
          INDEX([1]DB!$B:$B,MATCH($E148,[1]DB!$D:$D,0)),
          INDEX([1]DB!$C:$C,MATCH($E148,[1]DB!$D:$D,0))
        )
      )
    )
  ),
  0
)</f>
        <v>0</v>
      </c>
      <c r="L148" s="9">
        <f>IFERROR(
  IF(
    D148&lt;&gt;"Geoffroy",
    0,
    IF(
      C148="",
      IF(
        COUNTIFS($B$2:B148,B148,$E$2:E148,E148,$D$2:D148,D148)=1,
        INDEX([1]DB!$A:$A,MATCH($E148,[1]DB!$D:$D,0)),
        IF(
          COUNTIFS($B$2:B148,B148,$E$2:E148,E148,$D$2:D148,D148)=2,
          INDEX([1]DB!$B:$B,MATCH($E148,[1]DB!$D:$D,0)),
          INDEX([1]DB!$C:$C,MATCH($E148,[1]DB!$D:$D,0))
        )
      ),
      IF(
        COUNTIFS($C$2:C148,C148,$E$2:E148,E148,$D$2:D148,D148)=1,
        INDEX([1]DB!$A:$A,MATCH($E148,[1]DB!$D:$D,0)),
        IF(
          COUNTIFS($C$2:C148,C148,$E$2:E148,E148,$D$2:D148,D148)=2,
          INDEX([1]DB!$B:$B,MATCH($E148,[1]DB!$D:$D,0)),
          INDEX([1]DB!$C:$C,MATCH($E148,[1]DB!$D:$D,0))
        )
      )
    )
  ),
  0
)</f>
        <v>0</v>
      </c>
      <c r="M148" s="9">
        <f>IFERROR(
  IF(
    D148&lt;&gt;"Tiphaine",
    0,
    IF(
      C148="",
      IF(
        COUNTIFS($B$2:B148,B148,$E$2:E148,E148,$D$2:D148,D148)=1,
        INDEX([1]DB!$A:$A,MATCH($E148,[1]DB!$D:$D,0)),
        IF(
          COUNTIFS($B$2:B148,B148,$E$2:E148,E148,$D$2:D148,D148)=2,
          INDEX([1]DB!$B:$B,MATCH($E148,[1]DB!$D:$D,0)),
          INDEX([1]DB!$C:$C,MATCH($E148,[1]DB!$D:$D,0))
        )
      ),
      IF(
        COUNTIFS($C$2:C148,C148,$E$2:E148,E148,$D$2:D148,D148)=1,
        INDEX([1]DB!$A:$A,MATCH($E148,[1]DB!$D:$D,0)),
        IF(
          COUNTIFS($C$2:C148,C148,$E$2:E148,E148,$D$2:D148,D148)=2,
          INDEX([1]DB!$B:$B,MATCH($E148,[1]DB!$D:$D,0)),
          INDEX([1]DB!$C:$C,MATCH($E148,[1]DB!$D:$D,0))
        )
      )
    )
  ),
  0
)</f>
        <v>0</v>
      </c>
      <c r="N148" s="9">
        <f>IFERROR(
  IF(
    D148&lt;&gt;"Catherine",
    0,
    IF(
      C148="",
      IF(
        COUNTIFS($B$2:B148,B148,$E$2:E148,E148,$D$2:D148,D148)=1,
        INDEX([1]DB!$A:$A,MATCH($E148,[1]DB!$D:$D,0)),
        IF(
          COUNTIFS($B$2:B148,B148,$E$2:E148,E148,$D$2:D148,D148)=2,
          INDEX([1]DB!$B:$B,MATCH($E148,[1]DB!$D:$D,0)),
          INDEX([1]DB!$C:$C,MATCH($E148,[1]DB!$D:$D,0))
        )
      ),
      IF(
        COUNTIFS($C$2:C148,C148,$E$2:E148,E148,$D$2:D148,D148)=1,
        INDEX([1]DB!$A:$A,MATCH($E148,[1]DB!$D:$D,0)),
        IF(
          COUNTIFS($C$2:C148,C148,$E$2:E148,E148,$D$2:D148,D148)=2,
          INDEX([1]DB!$B:$B,MATCH($E148,[1]DB!$D:$D,0)),
          INDEX([1]DB!$C:$C,MATCH($E148,[1]DB!$D:$D,0))
        )
      )
    )
  ),
  0
)</f>
        <v>0</v>
      </c>
      <c r="O148" s="20" t="str">
        <f t="shared" si="2"/>
        <v>Janvier</v>
      </c>
      <c r="P148" s="21" t="str">
        <f t="shared" ca="1" si="3"/>
        <v>NON</v>
      </c>
    </row>
    <row r="149" spans="1:16">
      <c r="A149" s="4"/>
      <c r="B149" s="5"/>
      <c r="C149" s="5"/>
      <c r="D149" s="6"/>
      <c r="E149" s="6"/>
      <c r="F149" s="7"/>
      <c r="G149" s="8" cm="1">
        <f t="array" ref="G149">IFERROR(
  IF(D149&lt;&gt;"Cédric",
     0,
     SUMPRODUCT(
       (TRIM(SUBSTITUTE(UPPER($B$2:$B149),CHAR(160),""))=TRIM(SUBSTITUTE(UPPER(B149),CHAR(160),"")))*
       (TRIM(SUBSTITUTE(UPPER($C$2:$C149),CHAR(160),""))=TRIM(SUBSTITUTE(UPPER(C149),CHAR(160),"")))*
       (TRIM(SUBSTITUTE(UPPER($D$2:$D149),CHAR(160),""))=TRIM(SUBSTITUTE(UPPER(D149),CHAR(160),"")))*
       (TRIM(SUBSTITUTE(UPPER($E$2:$E149),CHAR(160),""))=TRIM(SUBSTITUTE(UPPER(E149),CHAR(160),"")))
     )
  ),
  0
)</f>
        <v>0</v>
      </c>
      <c r="H149" s="8" cm="1">
        <f t="array" ref="H149">IFERROR(
  IF(D149&lt;&gt;"Geoffroy",
     0,
     SUMPRODUCT(
       (TRIM(SUBSTITUTE(UPPER($B$2:$B149),CHAR(160),""))=TRIM(SUBSTITUTE(UPPER(B149),CHAR(160),"")))*
       (TRIM(SUBSTITUTE(UPPER($C$2:$C149),CHAR(160),""))=TRIM(SUBSTITUTE(UPPER(C149),CHAR(160),"")))*
       (TRIM(SUBSTITUTE(UPPER($D$2:$D149),CHAR(160),""))=TRIM(SUBSTITUTE(UPPER(D149),CHAR(160),"")))*
       (TRIM(SUBSTITUTE(UPPER($E$2:$E149),CHAR(160),""))=TRIM(SUBSTITUTE(UPPER(E149),CHAR(160),"")))
     )
  ),
  0
)</f>
        <v>0</v>
      </c>
      <c r="I149" s="8" cm="1">
        <f t="array" ref="I149">IFERROR(
  IF(D149&lt;&gt;"Tiphaine",
     0,
     SUMPRODUCT(
       (TRIM(SUBSTITUTE(UPPER($B$2:$B149),CHAR(160),""))=TRIM(SUBSTITUTE(UPPER(B149),CHAR(160),"")))*
       (TRIM(SUBSTITUTE(UPPER($C$2:$C149),CHAR(160),""))=TRIM(SUBSTITUTE(UPPER(C149),CHAR(160),"")))*
       (TRIM(SUBSTITUTE(UPPER($D$2:$D149),CHAR(160),""))=TRIM(SUBSTITUTE(UPPER(D149),CHAR(160),"")))*
       (TRIM(SUBSTITUTE(UPPER($E$2:$E149),CHAR(160),""))=TRIM(SUBSTITUTE(UPPER(E149),CHAR(160),"")))
     )
  ),
  0
)</f>
        <v>0</v>
      </c>
      <c r="J149" s="8" cm="1">
        <f t="array" ref="J149">IFERROR(
  IF(D149&lt;&gt;"Catherine",
     0,
     SUMPRODUCT(
       (TRIM(SUBSTITUTE(UPPER($B$2:$B149),CHAR(160),""))=TRIM(SUBSTITUTE(UPPER(B149),CHAR(160),"")))*
       (TRIM(SUBSTITUTE(UPPER($C$2:$C149),CHAR(160),""))=TRIM(SUBSTITUTE(UPPER(C149),CHAR(160),"")))*
       (TRIM(SUBSTITUTE(UPPER($D$2:$D149),CHAR(160),""))=TRIM(SUBSTITUTE(UPPER(D149),CHAR(160),"")))*
       (TRIM(SUBSTITUTE(UPPER($E$2:$E149),CHAR(160),""))=TRIM(SUBSTITUTE(UPPER(E149),CHAR(160),"")))
     )
  ),
  0
)</f>
        <v>0</v>
      </c>
      <c r="K149" s="19">
        <f>IFERROR(
  IF(
    D149&lt;&gt;"Cédric",
    0,
    IF(
      C149="",
      IF(
        COUNTIFS($B$2:B149,B149,$E$2:E149,E149,$D$2:D149,D149)=1,
        INDEX([1]DB!$A:$A,MATCH($E149,[1]DB!$D:$D,0)),
        IF(
          COUNTIFS($B$2:B149,B149,$E$2:E149,E149,$D$2:D149,D149)=2,
          INDEX([1]DB!$B:$B,MATCH($E149,[1]DB!$D:$D,0)),
          INDEX([1]DB!$C:$C,MATCH($E149,[1]DB!$D:$D,0))
        )
      ),
      IF(
        COUNTIFS($C$2:C149,C149,$E$2:E149,E149,$D$2:D149,D149)=1,
        INDEX([1]DB!$A:$A,MATCH($E149,[1]DB!$D:$D,0)),
        IF(
          COUNTIFS($C$2:C149,C149,$E$2:E149,E149,$D$2:D149,D149)=2,
          INDEX([1]DB!$B:$B,MATCH($E149,[1]DB!$D:$D,0)),
          INDEX([1]DB!$C:$C,MATCH($E149,[1]DB!$D:$D,0))
        )
      )
    )
  ),
  0
)</f>
        <v>0</v>
      </c>
      <c r="L149" s="9">
        <f>IFERROR(
  IF(
    D149&lt;&gt;"Geoffroy",
    0,
    IF(
      C149="",
      IF(
        COUNTIFS($B$2:B149,B149,$E$2:E149,E149,$D$2:D149,D149)=1,
        INDEX([1]DB!$A:$A,MATCH($E149,[1]DB!$D:$D,0)),
        IF(
          COUNTIFS($B$2:B149,B149,$E$2:E149,E149,$D$2:D149,D149)=2,
          INDEX([1]DB!$B:$B,MATCH($E149,[1]DB!$D:$D,0)),
          INDEX([1]DB!$C:$C,MATCH($E149,[1]DB!$D:$D,0))
        )
      ),
      IF(
        COUNTIFS($C$2:C149,C149,$E$2:E149,E149,$D$2:D149,D149)=1,
        INDEX([1]DB!$A:$A,MATCH($E149,[1]DB!$D:$D,0)),
        IF(
          COUNTIFS($C$2:C149,C149,$E$2:E149,E149,$D$2:D149,D149)=2,
          INDEX([1]DB!$B:$B,MATCH($E149,[1]DB!$D:$D,0)),
          INDEX([1]DB!$C:$C,MATCH($E149,[1]DB!$D:$D,0))
        )
      )
    )
  ),
  0
)</f>
        <v>0</v>
      </c>
      <c r="M149" s="9">
        <f>IFERROR(
  IF(
    D149&lt;&gt;"Tiphaine",
    0,
    IF(
      C149="",
      IF(
        COUNTIFS($B$2:B149,B149,$E$2:E149,E149,$D$2:D149,D149)=1,
        INDEX([1]DB!$A:$A,MATCH($E149,[1]DB!$D:$D,0)),
        IF(
          COUNTIFS($B$2:B149,B149,$E$2:E149,E149,$D$2:D149,D149)=2,
          INDEX([1]DB!$B:$B,MATCH($E149,[1]DB!$D:$D,0)),
          INDEX([1]DB!$C:$C,MATCH($E149,[1]DB!$D:$D,0))
        )
      ),
      IF(
        COUNTIFS($C$2:C149,C149,$E$2:E149,E149,$D$2:D149,D149)=1,
        INDEX([1]DB!$A:$A,MATCH($E149,[1]DB!$D:$D,0)),
        IF(
          COUNTIFS($C$2:C149,C149,$E$2:E149,E149,$D$2:D149,D149)=2,
          INDEX([1]DB!$B:$B,MATCH($E149,[1]DB!$D:$D,0)),
          INDEX([1]DB!$C:$C,MATCH($E149,[1]DB!$D:$D,0))
        )
      )
    )
  ),
  0
)</f>
        <v>0</v>
      </c>
      <c r="N149" s="9">
        <f>IFERROR(
  IF(
    D149&lt;&gt;"Catherine",
    0,
    IF(
      C149="",
      IF(
        COUNTIFS($B$2:B149,B149,$E$2:E149,E149,$D$2:D149,D149)=1,
        INDEX([1]DB!$A:$A,MATCH($E149,[1]DB!$D:$D,0)),
        IF(
          COUNTIFS($B$2:B149,B149,$E$2:E149,E149,$D$2:D149,D149)=2,
          INDEX([1]DB!$B:$B,MATCH($E149,[1]DB!$D:$D,0)),
          INDEX([1]DB!$C:$C,MATCH($E149,[1]DB!$D:$D,0))
        )
      ),
      IF(
        COUNTIFS($C$2:C149,C149,$E$2:E149,E149,$D$2:D149,D149)=1,
        INDEX([1]DB!$A:$A,MATCH($E149,[1]DB!$D:$D,0)),
        IF(
          COUNTIFS($C$2:C149,C149,$E$2:E149,E149,$D$2:D149,D149)=2,
          INDEX([1]DB!$B:$B,MATCH($E149,[1]DB!$D:$D,0)),
          INDEX([1]DB!$C:$C,MATCH($E149,[1]DB!$D:$D,0))
        )
      )
    )
  ),
  0
)</f>
        <v>0</v>
      </c>
      <c r="O149" s="20" t="str">
        <f t="shared" si="2"/>
        <v>Janvier</v>
      </c>
      <c r="P149" s="21" t="str">
        <f t="shared" ca="1" si="3"/>
        <v>NON</v>
      </c>
    </row>
    <row r="150" spans="1:16">
      <c r="A150" s="4"/>
      <c r="B150" s="5"/>
      <c r="C150" s="5"/>
      <c r="D150" s="6"/>
      <c r="E150" s="6"/>
      <c r="F150" s="7"/>
      <c r="G150" s="8" cm="1">
        <f t="array" ref="G150">IFERROR(
  IF(D150&lt;&gt;"Cédric",
     0,
     SUMPRODUCT(
       (TRIM(SUBSTITUTE(UPPER($B$2:$B150),CHAR(160),""))=TRIM(SUBSTITUTE(UPPER(B150),CHAR(160),"")))*
       (TRIM(SUBSTITUTE(UPPER($C$2:$C150),CHAR(160),""))=TRIM(SUBSTITUTE(UPPER(C150),CHAR(160),"")))*
       (TRIM(SUBSTITUTE(UPPER($D$2:$D150),CHAR(160),""))=TRIM(SUBSTITUTE(UPPER(D150),CHAR(160),"")))*
       (TRIM(SUBSTITUTE(UPPER($E$2:$E150),CHAR(160),""))=TRIM(SUBSTITUTE(UPPER(E150),CHAR(160),"")))
     )
  ),
  0
)</f>
        <v>0</v>
      </c>
      <c r="H150" s="8" cm="1">
        <f t="array" ref="H150">IFERROR(
  IF(D150&lt;&gt;"Geoffroy",
     0,
     SUMPRODUCT(
       (TRIM(SUBSTITUTE(UPPER($B$2:$B150),CHAR(160),""))=TRIM(SUBSTITUTE(UPPER(B150),CHAR(160),"")))*
       (TRIM(SUBSTITUTE(UPPER($C$2:$C150),CHAR(160),""))=TRIM(SUBSTITUTE(UPPER(C150),CHAR(160),"")))*
       (TRIM(SUBSTITUTE(UPPER($D$2:$D150),CHAR(160),""))=TRIM(SUBSTITUTE(UPPER(D150),CHAR(160),"")))*
       (TRIM(SUBSTITUTE(UPPER($E$2:$E150),CHAR(160),""))=TRIM(SUBSTITUTE(UPPER(E150),CHAR(160),"")))
     )
  ),
  0
)</f>
        <v>0</v>
      </c>
      <c r="I150" s="8" cm="1">
        <f t="array" ref="I150">IFERROR(
  IF(D150&lt;&gt;"Tiphaine",
     0,
     SUMPRODUCT(
       (TRIM(SUBSTITUTE(UPPER($B$2:$B150),CHAR(160),""))=TRIM(SUBSTITUTE(UPPER(B150),CHAR(160),"")))*
       (TRIM(SUBSTITUTE(UPPER($C$2:$C150),CHAR(160),""))=TRIM(SUBSTITUTE(UPPER(C150),CHAR(160),"")))*
       (TRIM(SUBSTITUTE(UPPER($D$2:$D150),CHAR(160),""))=TRIM(SUBSTITUTE(UPPER(D150),CHAR(160),"")))*
       (TRIM(SUBSTITUTE(UPPER($E$2:$E150),CHAR(160),""))=TRIM(SUBSTITUTE(UPPER(E150),CHAR(160),"")))
     )
  ),
  0
)</f>
        <v>0</v>
      </c>
      <c r="J150" s="8" cm="1">
        <f t="array" ref="J150">IFERROR(
  IF(D150&lt;&gt;"Catherine",
     0,
     SUMPRODUCT(
       (TRIM(SUBSTITUTE(UPPER($B$2:$B150),CHAR(160),""))=TRIM(SUBSTITUTE(UPPER(B150),CHAR(160),"")))*
       (TRIM(SUBSTITUTE(UPPER($C$2:$C150),CHAR(160),""))=TRIM(SUBSTITUTE(UPPER(C150),CHAR(160),"")))*
       (TRIM(SUBSTITUTE(UPPER($D$2:$D150),CHAR(160),""))=TRIM(SUBSTITUTE(UPPER(D150),CHAR(160),"")))*
       (TRIM(SUBSTITUTE(UPPER($E$2:$E150),CHAR(160),""))=TRIM(SUBSTITUTE(UPPER(E150),CHAR(160),"")))
     )
  ),
  0
)</f>
        <v>0</v>
      </c>
      <c r="K150" s="19">
        <f>IFERROR(
  IF(
    D150&lt;&gt;"Cédric",
    0,
    IF(
      C150="",
      IF(
        COUNTIFS($B$2:B150,B150,$E$2:E150,E150,$D$2:D150,D150)=1,
        INDEX([1]DB!$A:$A,MATCH($E150,[1]DB!$D:$D,0)),
        IF(
          COUNTIFS($B$2:B150,B150,$E$2:E150,E150,$D$2:D150,D150)=2,
          INDEX([1]DB!$B:$B,MATCH($E150,[1]DB!$D:$D,0)),
          INDEX([1]DB!$C:$C,MATCH($E150,[1]DB!$D:$D,0))
        )
      ),
      IF(
        COUNTIFS($C$2:C150,C150,$E$2:E150,E150,$D$2:D150,D150)=1,
        INDEX([1]DB!$A:$A,MATCH($E150,[1]DB!$D:$D,0)),
        IF(
          COUNTIFS($C$2:C150,C150,$E$2:E150,E150,$D$2:D150,D150)=2,
          INDEX([1]DB!$B:$B,MATCH($E150,[1]DB!$D:$D,0)),
          INDEX([1]DB!$C:$C,MATCH($E150,[1]DB!$D:$D,0))
        )
      )
    )
  ),
  0
)</f>
        <v>0</v>
      </c>
      <c r="L150" s="9">
        <f>IFERROR(
  IF(
    D150&lt;&gt;"Geoffroy",
    0,
    IF(
      C150="",
      IF(
        COUNTIFS($B$2:B150,B150,$E$2:E150,E150,$D$2:D150,D150)=1,
        INDEX([1]DB!$A:$A,MATCH($E150,[1]DB!$D:$D,0)),
        IF(
          COUNTIFS($B$2:B150,B150,$E$2:E150,E150,$D$2:D150,D150)=2,
          INDEX([1]DB!$B:$B,MATCH($E150,[1]DB!$D:$D,0)),
          INDEX([1]DB!$C:$C,MATCH($E150,[1]DB!$D:$D,0))
        )
      ),
      IF(
        COUNTIFS($C$2:C150,C150,$E$2:E150,E150,$D$2:D150,D150)=1,
        INDEX([1]DB!$A:$A,MATCH($E150,[1]DB!$D:$D,0)),
        IF(
          COUNTIFS($C$2:C150,C150,$E$2:E150,E150,$D$2:D150,D150)=2,
          INDEX([1]DB!$B:$B,MATCH($E150,[1]DB!$D:$D,0)),
          INDEX([1]DB!$C:$C,MATCH($E150,[1]DB!$D:$D,0))
        )
      )
    )
  ),
  0
)</f>
        <v>0</v>
      </c>
      <c r="M150" s="9">
        <f>IFERROR(
  IF(
    D150&lt;&gt;"Tiphaine",
    0,
    IF(
      C150="",
      IF(
        COUNTIFS($B$2:B150,B150,$E$2:E150,E150,$D$2:D150,D150)=1,
        INDEX([1]DB!$A:$A,MATCH($E150,[1]DB!$D:$D,0)),
        IF(
          COUNTIFS($B$2:B150,B150,$E$2:E150,E150,$D$2:D150,D150)=2,
          INDEX([1]DB!$B:$B,MATCH($E150,[1]DB!$D:$D,0)),
          INDEX([1]DB!$C:$C,MATCH($E150,[1]DB!$D:$D,0))
        )
      ),
      IF(
        COUNTIFS($C$2:C150,C150,$E$2:E150,E150,$D$2:D150,D150)=1,
        INDEX([1]DB!$A:$A,MATCH($E150,[1]DB!$D:$D,0)),
        IF(
          COUNTIFS($C$2:C150,C150,$E$2:E150,E150,$D$2:D150,D150)=2,
          INDEX([1]DB!$B:$B,MATCH($E150,[1]DB!$D:$D,0)),
          INDEX([1]DB!$C:$C,MATCH($E150,[1]DB!$D:$D,0))
        )
      )
    )
  ),
  0
)</f>
        <v>0</v>
      </c>
      <c r="N150" s="9">
        <f>IFERROR(
  IF(
    D150&lt;&gt;"Catherine",
    0,
    IF(
      C150="",
      IF(
        COUNTIFS($B$2:B150,B150,$E$2:E150,E150,$D$2:D150,D150)=1,
        INDEX([1]DB!$A:$A,MATCH($E150,[1]DB!$D:$D,0)),
        IF(
          COUNTIFS($B$2:B150,B150,$E$2:E150,E150,$D$2:D150,D150)=2,
          INDEX([1]DB!$B:$B,MATCH($E150,[1]DB!$D:$D,0)),
          INDEX([1]DB!$C:$C,MATCH($E150,[1]DB!$D:$D,0))
        )
      ),
      IF(
        COUNTIFS($C$2:C150,C150,$E$2:E150,E150,$D$2:D150,D150)=1,
        INDEX([1]DB!$A:$A,MATCH($E150,[1]DB!$D:$D,0)),
        IF(
          COUNTIFS($C$2:C150,C150,$E$2:E150,E150,$D$2:D150,D150)=2,
          INDEX([1]DB!$B:$B,MATCH($E150,[1]DB!$D:$D,0)),
          INDEX([1]DB!$C:$C,MATCH($E150,[1]DB!$D:$D,0))
        )
      )
    )
  ),
  0
)</f>
        <v>0</v>
      </c>
      <c r="O150" s="20" t="str">
        <f t="shared" si="2"/>
        <v>Janvier</v>
      </c>
      <c r="P150" s="21" t="str">
        <f t="shared" ca="1" si="3"/>
        <v>NON</v>
      </c>
    </row>
    <row r="151" spans="1:16">
      <c r="A151" s="4"/>
      <c r="B151" s="5"/>
      <c r="C151" s="5"/>
      <c r="D151" s="6"/>
      <c r="E151" s="6"/>
      <c r="F151" s="7"/>
      <c r="G151" s="8" cm="1">
        <f t="array" ref="G151">IFERROR(
  IF(D151&lt;&gt;"Cédric",
     0,
     SUMPRODUCT(
       (TRIM(SUBSTITUTE(UPPER($B$2:$B151),CHAR(160),""))=TRIM(SUBSTITUTE(UPPER(B151),CHAR(160),"")))*
       (TRIM(SUBSTITUTE(UPPER($C$2:$C151),CHAR(160),""))=TRIM(SUBSTITUTE(UPPER(C151),CHAR(160),"")))*
       (TRIM(SUBSTITUTE(UPPER($D$2:$D151),CHAR(160),""))=TRIM(SUBSTITUTE(UPPER(D151),CHAR(160),"")))*
       (TRIM(SUBSTITUTE(UPPER($E$2:$E151),CHAR(160),""))=TRIM(SUBSTITUTE(UPPER(E151),CHAR(160),"")))
     )
  ),
  0
)</f>
        <v>0</v>
      </c>
      <c r="H151" s="8" cm="1">
        <f t="array" ref="H151">IFERROR(
  IF(D151&lt;&gt;"Geoffroy",
     0,
     SUMPRODUCT(
       (TRIM(SUBSTITUTE(UPPER($B$2:$B151),CHAR(160),""))=TRIM(SUBSTITUTE(UPPER(B151),CHAR(160),"")))*
       (TRIM(SUBSTITUTE(UPPER($C$2:$C151),CHAR(160),""))=TRIM(SUBSTITUTE(UPPER(C151),CHAR(160),"")))*
       (TRIM(SUBSTITUTE(UPPER($D$2:$D151),CHAR(160),""))=TRIM(SUBSTITUTE(UPPER(D151),CHAR(160),"")))*
       (TRIM(SUBSTITUTE(UPPER($E$2:$E151),CHAR(160),""))=TRIM(SUBSTITUTE(UPPER(E151),CHAR(160),"")))
     )
  ),
  0
)</f>
        <v>0</v>
      </c>
      <c r="I151" s="8" cm="1">
        <f t="array" ref="I151">IFERROR(
  IF(D151&lt;&gt;"Tiphaine",
     0,
     SUMPRODUCT(
       (TRIM(SUBSTITUTE(UPPER($B$2:$B151),CHAR(160),""))=TRIM(SUBSTITUTE(UPPER(B151),CHAR(160),"")))*
       (TRIM(SUBSTITUTE(UPPER($C$2:$C151),CHAR(160),""))=TRIM(SUBSTITUTE(UPPER(C151),CHAR(160),"")))*
       (TRIM(SUBSTITUTE(UPPER($D$2:$D151),CHAR(160),""))=TRIM(SUBSTITUTE(UPPER(D151),CHAR(160),"")))*
       (TRIM(SUBSTITUTE(UPPER($E$2:$E151),CHAR(160),""))=TRIM(SUBSTITUTE(UPPER(E151),CHAR(160),"")))
     )
  ),
  0
)</f>
        <v>0</v>
      </c>
      <c r="J151" s="8" cm="1">
        <f t="array" ref="J151">IFERROR(
  IF(D151&lt;&gt;"Catherine",
     0,
     SUMPRODUCT(
       (TRIM(SUBSTITUTE(UPPER($B$2:$B151),CHAR(160),""))=TRIM(SUBSTITUTE(UPPER(B151),CHAR(160),"")))*
       (TRIM(SUBSTITUTE(UPPER($C$2:$C151),CHAR(160),""))=TRIM(SUBSTITUTE(UPPER(C151),CHAR(160),"")))*
       (TRIM(SUBSTITUTE(UPPER($D$2:$D151),CHAR(160),""))=TRIM(SUBSTITUTE(UPPER(D151),CHAR(160),"")))*
       (TRIM(SUBSTITUTE(UPPER($E$2:$E151),CHAR(160),""))=TRIM(SUBSTITUTE(UPPER(E151),CHAR(160),"")))
     )
  ),
  0
)</f>
        <v>0</v>
      </c>
      <c r="K151" s="9">
        <f>IFERROR(
  IF(
    D151&lt;&gt;"Cédric",
    0,
    IF(
      C151="",
      IF(
        COUNTIFS($B$2:B151,B151,$E$2:E151,E151,$D$2:D151,D151)=1,
        INDEX([1]DB!$A:$A,MATCH($E151,[1]DB!$D:$D,0)),
        IF(
          COUNTIFS($B$2:B151,B151,$E$2:E151,E151,$D$2:D151,D151)=2,
          INDEX([1]DB!$B:$B,MATCH($E151,[1]DB!$D:$D,0)),
          INDEX([1]DB!$C:$C,MATCH($E151,[1]DB!$D:$D,0))
        )
      ),
      IF(
        COUNTIFS($C$2:C151,C151,$E$2:E151,E151,$D$2:D151,D151)=1,
        INDEX([1]DB!$A:$A,MATCH($E151,[1]DB!$D:$D,0)),
        IF(
          COUNTIFS($C$2:C151,C151,$E$2:E151,E151,$D$2:D151,D151)=2,
          INDEX([1]DB!$B:$B,MATCH($E151,[1]DB!$D:$D,0)),
          INDEX([1]DB!$C:$C,MATCH($E151,[1]DB!$D:$D,0))
        )
      )
    )
  ),
  0
)</f>
        <v>0</v>
      </c>
      <c r="L151" s="9">
        <f>IFERROR(
  IF(
    D151&lt;&gt;"Geoffroy",
    0,
    IF(
      C151="",
      IF(
        COUNTIFS($B$2:B151,B151,$E$2:E151,E151,$D$2:D151,D151)=1,
        INDEX([1]DB!$A:$A,MATCH($E151,[1]DB!$D:$D,0)),
        IF(
          COUNTIFS($B$2:B151,B151,$E$2:E151,E151,$D$2:D151,D151)=2,
          INDEX([1]DB!$B:$B,MATCH($E151,[1]DB!$D:$D,0)),
          INDEX([1]DB!$C:$C,MATCH($E151,[1]DB!$D:$D,0))
        )
      ),
      IF(
        COUNTIFS($C$2:C151,C151,$E$2:E151,E151,$D$2:D151,D151)=1,
        INDEX([1]DB!$A:$A,MATCH($E151,[1]DB!$D:$D,0)),
        IF(
          COUNTIFS($C$2:C151,C151,$E$2:E151,E151,$D$2:D151,D151)=2,
          INDEX([1]DB!$B:$B,MATCH($E151,[1]DB!$D:$D,0)),
          INDEX([1]DB!$C:$C,MATCH($E151,[1]DB!$D:$D,0))
        )
      )
    )
  ),
  0
)</f>
        <v>0</v>
      </c>
      <c r="M151" s="9">
        <f>IFERROR(
  IF(
    D151&lt;&gt;"Tiphaine",
    0,
    IF(
      C151="",
      IF(
        COUNTIFS($B$2:B151,B151,$E$2:E151,E151,$D$2:D151,D151)=1,
        INDEX([1]DB!$A:$A,MATCH($E151,[1]DB!$D:$D,0)),
        IF(
          COUNTIFS($B$2:B151,B151,$E$2:E151,E151,$D$2:D151,D151)=2,
          INDEX([1]DB!$B:$B,MATCH($E151,[1]DB!$D:$D,0)),
          INDEX([1]DB!$C:$C,MATCH($E151,[1]DB!$D:$D,0))
        )
      ),
      IF(
        COUNTIFS($C$2:C151,C151,$E$2:E151,E151,$D$2:D151,D151)=1,
        INDEX([1]DB!$A:$A,MATCH($E151,[1]DB!$D:$D,0)),
        IF(
          COUNTIFS($C$2:C151,C151,$E$2:E151,E151,$D$2:D151,D151)=2,
          INDEX([1]DB!$B:$B,MATCH($E151,[1]DB!$D:$D,0)),
          INDEX([1]DB!$C:$C,MATCH($E151,[1]DB!$D:$D,0))
        )
      )
    )
  ),
  0
)</f>
        <v>0</v>
      </c>
      <c r="N151" s="9">
        <f>IFERROR(
  IF(
    D151&lt;&gt;"Catherine",
    0,
    IF(
      C151="",
      IF(
        COUNTIFS($B$2:B151,B151,$E$2:E151,E151,$D$2:D151,D151)=1,
        INDEX([1]DB!$A:$A,MATCH($E151,[1]DB!$D:$D,0)),
        IF(
          COUNTIFS($B$2:B151,B151,$E$2:E151,E151,$D$2:D151,D151)=2,
          INDEX([1]DB!$B:$B,MATCH($E151,[1]DB!$D:$D,0)),
          INDEX([1]DB!$C:$C,MATCH($E151,[1]DB!$D:$D,0))
        )
      ),
      IF(
        COUNTIFS($C$2:C151,C151,$E$2:E151,E151,$D$2:D151,D151)=1,
        INDEX([1]DB!$A:$A,MATCH($E151,[1]DB!$D:$D,0)),
        IF(
          COUNTIFS($C$2:C151,C151,$E$2:E151,E151,$D$2:D151,D151)=2,
          INDEX([1]DB!$B:$B,MATCH($E151,[1]DB!$D:$D,0)),
          INDEX([1]DB!$C:$C,MATCH($E151,[1]DB!$D:$D,0))
        )
      )
    )
  ),
  0
)</f>
        <v>0</v>
      </c>
      <c r="O151" s="5" t="str">
        <f>IF(DAY(A151)&lt;=15,UPPER(LEFT(TEXT(A151,"mmmm"),1))&amp;RIGHT(TEXT(A151,"mmmm"),LEN(TEXT(A151,"mmmm"))-1),UPPER(LEFT(TEXT(DATE(YEAR(A151),MONTH(A151)+1,1),"mmmm"),1))&amp;RIGHT(TEXT(DATE(YEAR(A151),MONTH(A151)+1,1),"mmmm"),LEN(TEXT(DATE(YEAR(A151),MONTH(A151)+1,1),"mmmm"))-1))</f>
        <v>Janvier</v>
      </c>
      <c r="P151" s="6" t="str">
        <f ca="1">IF(AND(A151&lt;=TODAY(),F151&lt;&gt;""),"OK","NON")</f>
        <v>NON</v>
      </c>
    </row>
    <row r="152" spans="1:16">
      <c r="A152" s="4"/>
      <c r="B152" s="5"/>
      <c r="C152" s="5"/>
      <c r="D152" s="6"/>
      <c r="E152" s="6"/>
      <c r="F152" s="7"/>
      <c r="G152" s="8" cm="1">
        <f t="array" ref="G152">IFERROR(
  IF(D152&lt;&gt;"Cédric",
     0,
     SUMPRODUCT(
       (TRIM(SUBSTITUTE(UPPER($B$2:$B152),CHAR(160),""))=TRIM(SUBSTITUTE(UPPER(B152),CHAR(160),"")))*
       (TRIM(SUBSTITUTE(UPPER($C$2:$C152),CHAR(160),""))=TRIM(SUBSTITUTE(UPPER(C152),CHAR(160),"")))*
       (TRIM(SUBSTITUTE(UPPER($D$2:$D152),CHAR(160),""))=TRIM(SUBSTITUTE(UPPER(D152),CHAR(160),"")))*
       (TRIM(SUBSTITUTE(UPPER($E$2:$E152),CHAR(160),""))=TRIM(SUBSTITUTE(UPPER(E152),CHAR(160),"")))
     )
  ),
  0
)</f>
        <v>0</v>
      </c>
      <c r="H152" s="8" cm="1">
        <f t="array" ref="H152">IFERROR(
  IF(D152&lt;&gt;"Geoffroy",
     0,
     SUMPRODUCT(
       (TRIM(SUBSTITUTE(UPPER($B$2:$B152),CHAR(160),""))=TRIM(SUBSTITUTE(UPPER(B152),CHAR(160),"")))*
       (TRIM(SUBSTITUTE(UPPER($C$2:$C152),CHAR(160),""))=TRIM(SUBSTITUTE(UPPER(C152),CHAR(160),"")))*
       (TRIM(SUBSTITUTE(UPPER($D$2:$D152),CHAR(160),""))=TRIM(SUBSTITUTE(UPPER(D152),CHAR(160),"")))*
       (TRIM(SUBSTITUTE(UPPER($E$2:$E152),CHAR(160),""))=TRIM(SUBSTITUTE(UPPER(E152),CHAR(160),"")))
     )
  ),
  0
)</f>
        <v>0</v>
      </c>
      <c r="I152" s="8" cm="1">
        <f t="array" ref="I152">IFERROR(
  IF(D152&lt;&gt;"Tiphaine",
     0,
     SUMPRODUCT(
       (TRIM(SUBSTITUTE(UPPER($B$2:$B152),CHAR(160),""))=TRIM(SUBSTITUTE(UPPER(B152),CHAR(160),"")))*
       (TRIM(SUBSTITUTE(UPPER($C$2:$C152),CHAR(160),""))=TRIM(SUBSTITUTE(UPPER(C152),CHAR(160),"")))*
       (TRIM(SUBSTITUTE(UPPER($D$2:$D152),CHAR(160),""))=TRIM(SUBSTITUTE(UPPER(D152),CHAR(160),"")))*
       (TRIM(SUBSTITUTE(UPPER($E$2:$E152),CHAR(160),""))=TRIM(SUBSTITUTE(UPPER(E152),CHAR(160),"")))
     )
  ),
  0
)</f>
        <v>0</v>
      </c>
      <c r="J152" s="8" cm="1">
        <f t="array" ref="J152">IFERROR(
  IF(D152&lt;&gt;"Catherine",
     0,
     SUMPRODUCT(
       (TRIM(SUBSTITUTE(UPPER($B$2:$B152),CHAR(160),""))=TRIM(SUBSTITUTE(UPPER(B152),CHAR(160),"")))*
       (TRIM(SUBSTITUTE(UPPER($C$2:$C152),CHAR(160),""))=TRIM(SUBSTITUTE(UPPER(C152),CHAR(160),"")))*
       (TRIM(SUBSTITUTE(UPPER($D$2:$D152),CHAR(160),""))=TRIM(SUBSTITUTE(UPPER(D152),CHAR(160),"")))*
       (TRIM(SUBSTITUTE(UPPER($E$2:$E152),CHAR(160),""))=TRIM(SUBSTITUTE(UPPER(E152),CHAR(160),"")))
     )
  ),
  0
)</f>
        <v>0</v>
      </c>
      <c r="K152" s="9">
        <f>IFERROR(
  IF(
    D152&lt;&gt;"Cédric",
    0,
    IF(
      C152="",
      IF(
        COUNTIFS($B$2:B152,B152,$E$2:E152,E152,$D$2:D152,D152)=1,
        INDEX([1]DB!$A:$A,MATCH($E152,[1]DB!$D:$D,0)),
        IF(
          COUNTIFS($B$2:B152,B152,$E$2:E152,E152,$D$2:D152,D152)=2,
          INDEX([1]DB!$B:$B,MATCH($E152,[1]DB!$D:$D,0)),
          INDEX([1]DB!$C:$C,MATCH($E152,[1]DB!$D:$D,0))
        )
      ),
      IF(
        COUNTIFS($C$2:C152,C152,$E$2:E152,E152,$D$2:D152,D152)=1,
        INDEX([1]DB!$A:$A,MATCH($E152,[1]DB!$D:$D,0)),
        IF(
          COUNTIFS($C$2:C152,C152,$E$2:E152,E152,$D$2:D152,D152)=2,
          INDEX([1]DB!$B:$B,MATCH($E152,[1]DB!$D:$D,0)),
          INDEX([1]DB!$C:$C,MATCH($E152,[1]DB!$D:$D,0))
        )
      )
    )
  ),
  0
)</f>
        <v>0</v>
      </c>
      <c r="L152" s="9">
        <f>IFERROR(
  IF(
    D152&lt;&gt;"Geoffroy",
    0,
    IF(
      C152="",
      IF(
        COUNTIFS($B$2:B152,B152,$E$2:E152,E152,$D$2:D152,D152)=1,
        INDEX([1]DB!$A:$A,MATCH($E152,[1]DB!$D:$D,0)),
        IF(
          COUNTIFS($B$2:B152,B152,$E$2:E152,E152,$D$2:D152,D152)=2,
          INDEX([1]DB!$B:$B,MATCH($E152,[1]DB!$D:$D,0)),
          INDEX([1]DB!$C:$C,MATCH($E152,[1]DB!$D:$D,0))
        )
      ),
      IF(
        COUNTIFS($C$2:C152,C152,$E$2:E152,E152,$D$2:D152,D152)=1,
        INDEX([1]DB!$A:$A,MATCH($E152,[1]DB!$D:$D,0)),
        IF(
          COUNTIFS($C$2:C152,C152,$E$2:E152,E152,$D$2:D152,D152)=2,
          INDEX([1]DB!$B:$B,MATCH($E152,[1]DB!$D:$D,0)),
          INDEX([1]DB!$C:$C,MATCH($E152,[1]DB!$D:$D,0))
        )
      )
    )
  ),
  0
)</f>
        <v>0</v>
      </c>
      <c r="M152" s="9">
        <f>IFERROR(
  IF(
    D152&lt;&gt;"Tiphaine",
    0,
    IF(
      C152="",
      IF(
        COUNTIFS($B$2:B152,B152,$E$2:E152,E152,$D$2:D152,D152)=1,
        INDEX([1]DB!$A:$A,MATCH($E152,[1]DB!$D:$D,0)),
        IF(
          COUNTIFS($B$2:B152,B152,$E$2:E152,E152,$D$2:D152,D152)=2,
          INDEX([1]DB!$B:$B,MATCH($E152,[1]DB!$D:$D,0)),
          INDEX([1]DB!$C:$C,MATCH($E152,[1]DB!$D:$D,0))
        )
      ),
      IF(
        COUNTIFS($C$2:C152,C152,$E$2:E152,E152,$D$2:D152,D152)=1,
        INDEX([1]DB!$A:$A,MATCH($E152,[1]DB!$D:$D,0)),
        IF(
          COUNTIFS($C$2:C152,C152,$E$2:E152,E152,$D$2:D152,D152)=2,
          INDEX([1]DB!$B:$B,MATCH($E152,[1]DB!$D:$D,0)),
          INDEX([1]DB!$C:$C,MATCH($E152,[1]DB!$D:$D,0))
        )
      )
    )
  ),
  0
)</f>
        <v>0</v>
      </c>
      <c r="N152" s="9">
        <f>IFERROR(
  IF(
    D152&lt;&gt;"Catherine",
    0,
    IF(
      C152="",
      IF(
        COUNTIFS($B$2:B152,B152,$E$2:E152,E152,$D$2:D152,D152)=1,
        INDEX([1]DB!$A:$A,MATCH($E152,[1]DB!$D:$D,0)),
        IF(
          COUNTIFS($B$2:B152,B152,$E$2:E152,E152,$D$2:D152,D152)=2,
          INDEX([1]DB!$B:$B,MATCH($E152,[1]DB!$D:$D,0)),
          INDEX([1]DB!$C:$C,MATCH($E152,[1]DB!$D:$D,0))
        )
      ),
      IF(
        COUNTIFS($C$2:C152,C152,$E$2:E152,E152,$D$2:D152,D152)=1,
        INDEX([1]DB!$A:$A,MATCH($E152,[1]DB!$D:$D,0)),
        IF(
          COUNTIFS($C$2:C152,C152,$E$2:E152,E152,$D$2:D152,D152)=2,
          INDEX([1]DB!$B:$B,MATCH($E152,[1]DB!$D:$D,0)),
          INDEX([1]DB!$C:$C,MATCH($E152,[1]DB!$D:$D,0))
        )
      )
    )
  ),
  0
)</f>
        <v>0</v>
      </c>
      <c r="O152" s="5" t="str">
        <f>IF(DAY(A152)&lt;=15,UPPER(LEFT(TEXT(A152,"mmmm"),1))&amp;RIGHT(TEXT(A152,"mmmm"),LEN(TEXT(A152,"mmmm"))-1),UPPER(LEFT(TEXT(DATE(YEAR(A152),MONTH(A152)+1,1),"mmmm"),1))&amp;RIGHT(TEXT(DATE(YEAR(A152),MONTH(A152)+1,1),"mmmm"),LEN(TEXT(DATE(YEAR(A152),MONTH(A152)+1,1),"mmmm"))-1))</f>
        <v>Janvier</v>
      </c>
      <c r="P152" s="6" t="str">
        <f ca="1">IF(AND(A152&lt;=TODAY(),F152&lt;&gt;""),"OK","NON")</f>
        <v>NON</v>
      </c>
    </row>
    <row r="153" spans="1:16">
      <c r="A153" s="4"/>
      <c r="B153" s="5"/>
      <c r="C153" s="5"/>
      <c r="D153" s="6"/>
      <c r="E153" s="6"/>
      <c r="F153" s="7"/>
      <c r="G153" s="8" cm="1">
        <f t="array" ref="G153">IFERROR(
  IF(D153&lt;&gt;"Cédric",
     0,
     SUMPRODUCT(
       (TRIM(SUBSTITUTE(UPPER($B$2:$B153),CHAR(160),""))=TRIM(SUBSTITUTE(UPPER(B153),CHAR(160),"")))*
       (TRIM(SUBSTITUTE(UPPER($C$2:$C153),CHAR(160),""))=TRIM(SUBSTITUTE(UPPER(C153),CHAR(160),"")))*
       (TRIM(SUBSTITUTE(UPPER($D$2:$D153),CHAR(160),""))=TRIM(SUBSTITUTE(UPPER(D153),CHAR(160),"")))*
       (TRIM(SUBSTITUTE(UPPER($E$2:$E153),CHAR(160),""))=TRIM(SUBSTITUTE(UPPER(E153),CHAR(160),"")))
     )
  ),
  0
)</f>
        <v>0</v>
      </c>
      <c r="H153" s="8" cm="1">
        <f t="array" ref="H153">IFERROR(
  IF(D153&lt;&gt;"Geoffroy",
     0,
     SUMPRODUCT(
       (TRIM(SUBSTITUTE(UPPER($B$2:$B153),CHAR(160),""))=TRIM(SUBSTITUTE(UPPER(B153),CHAR(160),"")))*
       (TRIM(SUBSTITUTE(UPPER($C$2:$C153),CHAR(160),""))=TRIM(SUBSTITUTE(UPPER(C153),CHAR(160),"")))*
       (TRIM(SUBSTITUTE(UPPER($D$2:$D153),CHAR(160),""))=TRIM(SUBSTITUTE(UPPER(D153),CHAR(160),"")))*
       (TRIM(SUBSTITUTE(UPPER($E$2:$E153),CHAR(160),""))=TRIM(SUBSTITUTE(UPPER(E153),CHAR(160),"")))
     )
  ),
  0
)</f>
        <v>0</v>
      </c>
      <c r="I153" s="8" cm="1">
        <f t="array" ref="I153">IFERROR(
  IF(D153&lt;&gt;"Tiphaine",
     0,
     SUMPRODUCT(
       (TRIM(SUBSTITUTE(UPPER($B$2:$B153),CHAR(160),""))=TRIM(SUBSTITUTE(UPPER(B153),CHAR(160),"")))*
       (TRIM(SUBSTITUTE(UPPER($C$2:$C153),CHAR(160),""))=TRIM(SUBSTITUTE(UPPER(C153),CHAR(160),"")))*
       (TRIM(SUBSTITUTE(UPPER($D$2:$D153),CHAR(160),""))=TRIM(SUBSTITUTE(UPPER(D153),CHAR(160),"")))*
       (TRIM(SUBSTITUTE(UPPER($E$2:$E153),CHAR(160),""))=TRIM(SUBSTITUTE(UPPER(E153),CHAR(160),"")))
     )
  ),
  0
)</f>
        <v>0</v>
      </c>
      <c r="J153" s="8" cm="1">
        <f t="array" ref="J153">IFERROR(
  IF(D153&lt;&gt;"Catherine",
     0,
     SUMPRODUCT(
       (TRIM(SUBSTITUTE(UPPER($B$2:$B153),CHAR(160),""))=TRIM(SUBSTITUTE(UPPER(B153),CHAR(160),"")))*
       (TRIM(SUBSTITUTE(UPPER($C$2:$C153),CHAR(160),""))=TRIM(SUBSTITUTE(UPPER(C153),CHAR(160),"")))*
       (TRIM(SUBSTITUTE(UPPER($D$2:$D153),CHAR(160),""))=TRIM(SUBSTITUTE(UPPER(D153),CHAR(160),"")))*
       (TRIM(SUBSTITUTE(UPPER($E$2:$E153),CHAR(160),""))=TRIM(SUBSTITUTE(UPPER(E153),CHAR(160),"")))
     )
  ),
  0
)</f>
        <v>0</v>
      </c>
      <c r="K153" s="9">
        <f>IFERROR(
  IF(
    D153&lt;&gt;"Cédric",
    0,
    IF(
      C153="",
      IF(
        COUNTIFS($B$2:B153,B153,$E$2:E153,E153,$D$2:D153,D153)=1,
        INDEX([1]DB!$A:$A,MATCH($E153,[1]DB!$D:$D,0)),
        IF(
          COUNTIFS($B$2:B153,B153,$E$2:E153,E153,$D$2:D153,D153)=2,
          INDEX([1]DB!$B:$B,MATCH($E153,[1]DB!$D:$D,0)),
          INDEX([1]DB!$C:$C,MATCH($E153,[1]DB!$D:$D,0))
        )
      ),
      IF(
        COUNTIFS($C$2:C153,C153,$E$2:E153,E153,$D$2:D153,D153)=1,
        INDEX([1]DB!$A:$A,MATCH($E153,[1]DB!$D:$D,0)),
        IF(
          COUNTIFS($C$2:C153,C153,$E$2:E153,E153,$D$2:D153,D153)=2,
          INDEX([1]DB!$B:$B,MATCH($E153,[1]DB!$D:$D,0)),
          INDEX([1]DB!$C:$C,MATCH($E153,[1]DB!$D:$D,0))
        )
      )
    )
  ),
  0
)</f>
        <v>0</v>
      </c>
      <c r="L153" s="9">
        <f>IFERROR(
  IF(
    D153&lt;&gt;"Geoffroy",
    0,
    IF(
      C153="",
      IF(
        COUNTIFS($B$2:B153,B153,$E$2:E153,E153,$D$2:D153,D153)=1,
        INDEX([1]DB!$A:$A,MATCH($E153,[1]DB!$D:$D,0)),
        IF(
          COUNTIFS($B$2:B153,B153,$E$2:E153,E153,$D$2:D153,D153)=2,
          INDEX([1]DB!$B:$B,MATCH($E153,[1]DB!$D:$D,0)),
          INDEX([1]DB!$C:$C,MATCH($E153,[1]DB!$D:$D,0))
        )
      ),
      IF(
        COUNTIFS($C$2:C153,C153,$E$2:E153,E153,$D$2:D153,D153)=1,
        INDEX([1]DB!$A:$A,MATCH($E153,[1]DB!$D:$D,0)),
        IF(
          COUNTIFS($C$2:C153,C153,$E$2:E153,E153,$D$2:D153,D153)=2,
          INDEX([1]DB!$B:$B,MATCH($E153,[1]DB!$D:$D,0)),
          INDEX([1]DB!$C:$C,MATCH($E153,[1]DB!$D:$D,0))
        )
      )
    )
  ),
  0
)</f>
        <v>0</v>
      </c>
      <c r="M153" s="9">
        <f>IFERROR(
  IF(
    D153&lt;&gt;"Tiphaine",
    0,
    IF(
      C153="",
      IF(
        COUNTIFS($B$2:B153,B153,$E$2:E153,E153,$D$2:D153,D153)=1,
        INDEX([1]DB!$A:$A,MATCH($E153,[1]DB!$D:$D,0)),
        IF(
          COUNTIFS($B$2:B153,B153,$E$2:E153,E153,$D$2:D153,D153)=2,
          INDEX([1]DB!$B:$B,MATCH($E153,[1]DB!$D:$D,0)),
          INDEX([1]DB!$C:$C,MATCH($E153,[1]DB!$D:$D,0))
        )
      ),
      IF(
        COUNTIFS($C$2:C153,C153,$E$2:E153,E153,$D$2:D153,D153)=1,
        INDEX([1]DB!$A:$A,MATCH($E153,[1]DB!$D:$D,0)),
        IF(
          COUNTIFS($C$2:C153,C153,$E$2:E153,E153,$D$2:D153,D153)=2,
          INDEX([1]DB!$B:$B,MATCH($E153,[1]DB!$D:$D,0)),
          INDEX([1]DB!$C:$C,MATCH($E153,[1]DB!$D:$D,0))
        )
      )
    )
  ),
  0
)</f>
        <v>0</v>
      </c>
      <c r="N153" s="9">
        <f>IFERROR(
  IF(
    D153&lt;&gt;"Catherine",
    0,
    IF(
      C153="",
      IF(
        COUNTIFS($B$2:B153,B153,$E$2:E153,E153,$D$2:D153,D153)=1,
        INDEX([1]DB!$A:$A,MATCH($E153,[1]DB!$D:$D,0)),
        IF(
          COUNTIFS($B$2:B153,B153,$E$2:E153,E153,$D$2:D153,D153)=2,
          INDEX([1]DB!$B:$B,MATCH($E153,[1]DB!$D:$D,0)),
          INDEX([1]DB!$C:$C,MATCH($E153,[1]DB!$D:$D,0))
        )
      ),
      IF(
        COUNTIFS($C$2:C153,C153,$E$2:E153,E153,$D$2:D153,D153)=1,
        INDEX([1]DB!$A:$A,MATCH($E153,[1]DB!$D:$D,0)),
        IF(
          COUNTIFS($C$2:C153,C153,$E$2:E153,E153,$D$2:D153,D153)=2,
          INDEX([1]DB!$B:$B,MATCH($E153,[1]DB!$D:$D,0)),
          INDEX([1]DB!$C:$C,MATCH($E153,[1]DB!$D:$D,0))
        )
      )
    )
  ),
  0
)</f>
        <v>0</v>
      </c>
      <c r="O153" s="5" t="str">
        <f>IF(DAY(A153)&lt;=15,UPPER(LEFT(TEXT(A153,"mmmm"),1))&amp;RIGHT(TEXT(A153,"mmmm"),LEN(TEXT(A153,"mmmm"))-1),UPPER(LEFT(TEXT(DATE(YEAR(A153),MONTH(A153)+1,1),"mmmm"),1))&amp;RIGHT(TEXT(DATE(YEAR(A153),MONTH(A153)+1,1),"mmmm"),LEN(TEXT(DATE(YEAR(A153),MONTH(A153)+1,1),"mmmm"))-1))</f>
        <v>Janvier</v>
      </c>
      <c r="P153" s="6" t="str">
        <f ca="1">IF(AND(A153&lt;=TODAY(),F153&lt;&gt;""),"OK","NON")</f>
        <v>NON</v>
      </c>
    </row>
    <row r="154" spans="1:16">
      <c r="A154" s="4"/>
      <c r="B154" s="5"/>
      <c r="C154" s="5"/>
      <c r="D154" s="6"/>
      <c r="E154" s="6"/>
      <c r="F154" s="7"/>
      <c r="G154" s="8" cm="1">
        <f t="array" ref="G154">IFERROR(
  IF(D154&lt;&gt;"Cédric",
     0,
     SUMPRODUCT(
       (TRIM(SUBSTITUTE(UPPER($B$2:$B154),CHAR(160),""))=TRIM(SUBSTITUTE(UPPER(B154),CHAR(160),"")))*
       (TRIM(SUBSTITUTE(UPPER($C$2:$C154),CHAR(160),""))=TRIM(SUBSTITUTE(UPPER(C154),CHAR(160),"")))*
       (TRIM(SUBSTITUTE(UPPER($D$2:$D154),CHAR(160),""))=TRIM(SUBSTITUTE(UPPER(D154),CHAR(160),"")))*
       (TRIM(SUBSTITUTE(UPPER($E$2:$E154),CHAR(160),""))=TRIM(SUBSTITUTE(UPPER(E154),CHAR(160),"")))
     )
  ),
  0
)</f>
        <v>0</v>
      </c>
      <c r="H154" s="8" cm="1">
        <f t="array" ref="H154">IFERROR(
  IF(D154&lt;&gt;"Geoffroy",
     0,
     SUMPRODUCT(
       (TRIM(SUBSTITUTE(UPPER($B$2:$B154),CHAR(160),""))=TRIM(SUBSTITUTE(UPPER(B154),CHAR(160),"")))*
       (TRIM(SUBSTITUTE(UPPER($C$2:$C154),CHAR(160),""))=TRIM(SUBSTITUTE(UPPER(C154),CHAR(160),"")))*
       (TRIM(SUBSTITUTE(UPPER($D$2:$D154),CHAR(160),""))=TRIM(SUBSTITUTE(UPPER(D154),CHAR(160),"")))*
       (TRIM(SUBSTITUTE(UPPER($E$2:$E154),CHAR(160),""))=TRIM(SUBSTITUTE(UPPER(E154),CHAR(160),"")))
     )
  ),
  0
)</f>
        <v>0</v>
      </c>
      <c r="I154" s="8" cm="1">
        <f t="array" ref="I154">IFERROR(
  IF(D154&lt;&gt;"Tiphaine",
     0,
     SUMPRODUCT(
       (TRIM(SUBSTITUTE(UPPER($B$2:$B154),CHAR(160),""))=TRIM(SUBSTITUTE(UPPER(B154),CHAR(160),"")))*
       (TRIM(SUBSTITUTE(UPPER($C$2:$C154),CHAR(160),""))=TRIM(SUBSTITUTE(UPPER(C154),CHAR(160),"")))*
       (TRIM(SUBSTITUTE(UPPER($D$2:$D154),CHAR(160),""))=TRIM(SUBSTITUTE(UPPER(D154),CHAR(160),"")))*
       (TRIM(SUBSTITUTE(UPPER($E$2:$E154),CHAR(160),""))=TRIM(SUBSTITUTE(UPPER(E154),CHAR(160),"")))
     )
  ),
  0
)</f>
        <v>0</v>
      </c>
      <c r="J154" s="8" cm="1">
        <f t="array" ref="J154">IFERROR(
  IF(D154&lt;&gt;"Catherine",
     0,
     SUMPRODUCT(
       (TRIM(SUBSTITUTE(UPPER($B$2:$B154),CHAR(160),""))=TRIM(SUBSTITUTE(UPPER(B154),CHAR(160),"")))*
       (TRIM(SUBSTITUTE(UPPER($C$2:$C154),CHAR(160),""))=TRIM(SUBSTITUTE(UPPER(C154),CHAR(160),"")))*
       (TRIM(SUBSTITUTE(UPPER($D$2:$D154),CHAR(160),""))=TRIM(SUBSTITUTE(UPPER(D154),CHAR(160),"")))*
       (TRIM(SUBSTITUTE(UPPER($E$2:$E154),CHAR(160),""))=TRIM(SUBSTITUTE(UPPER(E154),CHAR(160),"")))
     )
  ),
  0
)</f>
        <v>0</v>
      </c>
      <c r="K154" s="9">
        <f>IFERROR(
  IF(
    D154&lt;&gt;"Cédric",
    0,
    IF(
      C154="",
      IF(
        COUNTIFS($B$2:B154,B154,$E$2:E154,E154,$D$2:D154,D154)=1,
        INDEX([1]DB!$A:$A,MATCH($E154,[1]DB!$D:$D,0)),
        IF(
          COUNTIFS($B$2:B154,B154,$E$2:E154,E154,$D$2:D154,D154)=2,
          INDEX([1]DB!$B:$B,MATCH($E154,[1]DB!$D:$D,0)),
          INDEX([1]DB!$C:$C,MATCH($E154,[1]DB!$D:$D,0))
        )
      ),
      IF(
        COUNTIFS($C$2:C154,C154,$E$2:E154,E154,$D$2:D154,D154)=1,
        INDEX([1]DB!$A:$A,MATCH($E154,[1]DB!$D:$D,0)),
        IF(
          COUNTIFS($C$2:C154,C154,$E$2:E154,E154,$D$2:D154,D154)=2,
          INDEX([1]DB!$B:$B,MATCH($E154,[1]DB!$D:$D,0)),
          INDEX([1]DB!$C:$C,MATCH($E154,[1]DB!$D:$D,0))
        )
      )
    )
  ),
  0
)</f>
        <v>0</v>
      </c>
      <c r="L154" s="9">
        <f>IFERROR(
  IF(
    D154&lt;&gt;"Geoffroy",
    0,
    IF(
      C154="",
      IF(
        COUNTIFS($B$2:B154,B154,$E$2:E154,E154,$D$2:D154,D154)=1,
        INDEX([1]DB!$A:$A,MATCH($E154,[1]DB!$D:$D,0)),
        IF(
          COUNTIFS($B$2:B154,B154,$E$2:E154,E154,$D$2:D154,D154)=2,
          INDEX([1]DB!$B:$B,MATCH($E154,[1]DB!$D:$D,0)),
          INDEX([1]DB!$C:$C,MATCH($E154,[1]DB!$D:$D,0))
        )
      ),
      IF(
        COUNTIFS($C$2:C154,C154,$E$2:E154,E154,$D$2:D154,D154)=1,
        INDEX([1]DB!$A:$A,MATCH($E154,[1]DB!$D:$D,0)),
        IF(
          COUNTIFS($C$2:C154,C154,$E$2:E154,E154,$D$2:D154,D154)=2,
          INDEX([1]DB!$B:$B,MATCH($E154,[1]DB!$D:$D,0)),
          INDEX([1]DB!$C:$C,MATCH($E154,[1]DB!$D:$D,0))
        )
      )
    )
  ),
  0
)</f>
        <v>0</v>
      </c>
      <c r="M154" s="9">
        <f>IFERROR(
  IF(
    D154&lt;&gt;"Tiphaine",
    0,
    IF(
      C154="",
      IF(
        COUNTIFS($B$2:B154,B154,$E$2:E154,E154,$D$2:D154,D154)=1,
        INDEX([1]DB!$A:$A,MATCH($E154,[1]DB!$D:$D,0)),
        IF(
          COUNTIFS($B$2:B154,B154,$E$2:E154,E154,$D$2:D154,D154)=2,
          INDEX([1]DB!$B:$B,MATCH($E154,[1]DB!$D:$D,0)),
          INDEX([1]DB!$C:$C,MATCH($E154,[1]DB!$D:$D,0))
        )
      ),
      IF(
        COUNTIFS($C$2:C154,C154,$E$2:E154,E154,$D$2:D154,D154)=1,
        INDEX([1]DB!$A:$A,MATCH($E154,[1]DB!$D:$D,0)),
        IF(
          COUNTIFS($C$2:C154,C154,$E$2:E154,E154,$D$2:D154,D154)=2,
          INDEX([1]DB!$B:$B,MATCH($E154,[1]DB!$D:$D,0)),
          INDEX([1]DB!$C:$C,MATCH($E154,[1]DB!$D:$D,0))
        )
      )
    )
  ),
  0
)</f>
        <v>0</v>
      </c>
      <c r="N154" s="9">
        <f>IFERROR(
  IF(
    D154&lt;&gt;"Catherine",
    0,
    IF(
      C154="",
      IF(
        COUNTIFS($B$2:B154,B154,$E$2:E154,E154,$D$2:D154,D154)=1,
        INDEX([1]DB!$A:$A,MATCH($E154,[1]DB!$D:$D,0)),
        IF(
          COUNTIFS($B$2:B154,B154,$E$2:E154,E154,$D$2:D154,D154)=2,
          INDEX([1]DB!$B:$B,MATCH($E154,[1]DB!$D:$D,0)),
          INDEX([1]DB!$C:$C,MATCH($E154,[1]DB!$D:$D,0))
        )
      ),
      IF(
        COUNTIFS($C$2:C154,C154,$E$2:E154,E154,$D$2:D154,D154)=1,
        INDEX([1]DB!$A:$A,MATCH($E154,[1]DB!$D:$D,0)),
        IF(
          COUNTIFS($C$2:C154,C154,$E$2:E154,E154,$D$2:D154,D154)=2,
          INDEX([1]DB!$B:$B,MATCH($E154,[1]DB!$D:$D,0)),
          INDEX([1]DB!$C:$C,MATCH($E154,[1]DB!$D:$D,0))
        )
      )
    )
  ),
  0
)</f>
        <v>0</v>
      </c>
      <c r="O154" s="5" t="str">
        <f>IF(DAY(A154)&lt;=15,UPPER(LEFT(TEXT(A154,"mmmm"),1))&amp;RIGHT(TEXT(A154,"mmmm"),LEN(TEXT(A154,"mmmm"))-1),UPPER(LEFT(TEXT(DATE(YEAR(A154),MONTH(A154)+1,1),"mmmm"),1))&amp;RIGHT(TEXT(DATE(YEAR(A154),MONTH(A154)+1,1),"mmmm"),LEN(TEXT(DATE(YEAR(A154),MONTH(A154)+1,1),"mmmm"))-1))</f>
        <v>Janvier</v>
      </c>
      <c r="P154" s="6" t="str">
        <f ca="1">IF(AND(A154&lt;=TODAY(),F154&lt;&gt;""),"OK","NON")</f>
        <v>NON</v>
      </c>
    </row>
    <row r="155" spans="1:16">
      <c r="A155" s="4"/>
      <c r="B155" s="5"/>
      <c r="C155" s="5"/>
      <c r="D155" s="6"/>
      <c r="E155" s="6"/>
      <c r="F155" s="7"/>
      <c r="G155" s="8" cm="1">
        <f t="array" ref="G155">IFERROR(
  IF(D155&lt;&gt;"Cédric",
     0,
     SUMPRODUCT(
       (TRIM(SUBSTITUTE(UPPER($B$2:$B155),CHAR(160),""))=TRIM(SUBSTITUTE(UPPER(B155),CHAR(160),"")))*
       (TRIM(SUBSTITUTE(UPPER($C$2:$C155),CHAR(160),""))=TRIM(SUBSTITUTE(UPPER(C155),CHAR(160),"")))*
       (TRIM(SUBSTITUTE(UPPER($D$2:$D155),CHAR(160),""))=TRIM(SUBSTITUTE(UPPER(D155),CHAR(160),"")))*
       (TRIM(SUBSTITUTE(UPPER($E$2:$E155),CHAR(160),""))=TRIM(SUBSTITUTE(UPPER(E155),CHAR(160),"")))
     )
  ),
  0
)</f>
        <v>0</v>
      </c>
      <c r="H155" s="8" cm="1">
        <f t="array" ref="H155">IFERROR(
  IF(D155&lt;&gt;"Geoffroy",
     0,
     SUMPRODUCT(
       (TRIM(SUBSTITUTE(UPPER($B$2:$B155),CHAR(160),""))=TRIM(SUBSTITUTE(UPPER(B155),CHAR(160),"")))*
       (TRIM(SUBSTITUTE(UPPER($C$2:$C155),CHAR(160),""))=TRIM(SUBSTITUTE(UPPER(C155),CHAR(160),"")))*
       (TRIM(SUBSTITUTE(UPPER($D$2:$D155),CHAR(160),""))=TRIM(SUBSTITUTE(UPPER(D155),CHAR(160),"")))*
       (TRIM(SUBSTITUTE(UPPER($E$2:$E155),CHAR(160),""))=TRIM(SUBSTITUTE(UPPER(E155),CHAR(160),"")))
     )
  ),
  0
)</f>
        <v>0</v>
      </c>
      <c r="I155" s="8" cm="1">
        <f t="array" ref="I155">IFERROR(
  IF(D155&lt;&gt;"Tiphaine",
     0,
     SUMPRODUCT(
       (TRIM(SUBSTITUTE(UPPER($B$2:$B155),CHAR(160),""))=TRIM(SUBSTITUTE(UPPER(B155),CHAR(160),"")))*
       (TRIM(SUBSTITUTE(UPPER($C$2:$C155),CHAR(160),""))=TRIM(SUBSTITUTE(UPPER(C155),CHAR(160),"")))*
       (TRIM(SUBSTITUTE(UPPER($D$2:$D155),CHAR(160),""))=TRIM(SUBSTITUTE(UPPER(D155),CHAR(160),"")))*
       (TRIM(SUBSTITUTE(UPPER($E$2:$E155),CHAR(160),""))=TRIM(SUBSTITUTE(UPPER(E155),CHAR(160),"")))
     )
  ),
  0
)</f>
        <v>0</v>
      </c>
      <c r="J155" s="8" cm="1">
        <f t="array" ref="J155">IFERROR(
  IF(D155&lt;&gt;"Catherine",
     0,
     SUMPRODUCT(
       (TRIM(SUBSTITUTE(UPPER($B$2:$B155),CHAR(160),""))=TRIM(SUBSTITUTE(UPPER(B155),CHAR(160),"")))*
       (TRIM(SUBSTITUTE(UPPER($C$2:$C155),CHAR(160),""))=TRIM(SUBSTITUTE(UPPER(C155),CHAR(160),"")))*
       (TRIM(SUBSTITUTE(UPPER($D$2:$D155),CHAR(160),""))=TRIM(SUBSTITUTE(UPPER(D155),CHAR(160),"")))*
       (TRIM(SUBSTITUTE(UPPER($E$2:$E155),CHAR(160),""))=TRIM(SUBSTITUTE(UPPER(E155),CHAR(160),"")))
     )
  ),
  0
)</f>
        <v>0</v>
      </c>
      <c r="K155" s="9">
        <f>IFERROR(
  IF(
    D155&lt;&gt;"Cédric",
    0,
    IF(
      C155="",
      IF(
        COUNTIFS($B$2:B155,B155,$E$2:E155,E155,$D$2:D155,D155)=1,
        INDEX([1]DB!$A:$A,MATCH($E155,[1]DB!$D:$D,0)),
        IF(
          COUNTIFS($B$2:B155,B155,$E$2:E155,E155,$D$2:D155,D155)=2,
          INDEX([1]DB!$B:$B,MATCH($E155,[1]DB!$D:$D,0)),
          INDEX([1]DB!$C:$C,MATCH($E155,[1]DB!$D:$D,0))
        )
      ),
      IF(
        COUNTIFS($C$2:C155,C155,$E$2:E155,E155,$D$2:D155,D155)=1,
        INDEX([1]DB!$A:$A,MATCH($E155,[1]DB!$D:$D,0)),
        IF(
          COUNTIFS($C$2:C155,C155,$E$2:E155,E155,$D$2:D155,D155)=2,
          INDEX([1]DB!$B:$B,MATCH($E155,[1]DB!$D:$D,0)),
          INDEX([1]DB!$C:$C,MATCH($E155,[1]DB!$D:$D,0))
        )
      )
    )
  ),
  0
)</f>
        <v>0</v>
      </c>
      <c r="L155" s="9">
        <f>IFERROR(
  IF(
    D155&lt;&gt;"Geoffroy",
    0,
    IF(
      C155="",
      IF(
        COUNTIFS($B$2:B155,B155,$E$2:E155,E155,$D$2:D155,D155)=1,
        INDEX([1]DB!$A:$A,MATCH($E155,[1]DB!$D:$D,0)),
        IF(
          COUNTIFS($B$2:B155,B155,$E$2:E155,E155,$D$2:D155,D155)=2,
          INDEX([1]DB!$B:$B,MATCH($E155,[1]DB!$D:$D,0)),
          INDEX([1]DB!$C:$C,MATCH($E155,[1]DB!$D:$D,0))
        )
      ),
      IF(
        COUNTIFS($C$2:C155,C155,$E$2:E155,E155,$D$2:D155,D155)=1,
        INDEX([1]DB!$A:$A,MATCH($E155,[1]DB!$D:$D,0)),
        IF(
          COUNTIFS($C$2:C155,C155,$E$2:E155,E155,$D$2:D155,D155)=2,
          INDEX([1]DB!$B:$B,MATCH($E155,[1]DB!$D:$D,0)),
          INDEX([1]DB!$C:$C,MATCH($E155,[1]DB!$D:$D,0))
        )
      )
    )
  ),
  0
)</f>
        <v>0</v>
      </c>
      <c r="M155" s="9">
        <f>IFERROR(
  IF(
    D155&lt;&gt;"Tiphaine",
    0,
    IF(
      C155="",
      IF(
        COUNTIFS($B$2:B155,B155,$E$2:E155,E155,$D$2:D155,D155)=1,
        INDEX([1]DB!$A:$A,MATCH($E155,[1]DB!$D:$D,0)),
        IF(
          COUNTIFS($B$2:B155,B155,$E$2:E155,E155,$D$2:D155,D155)=2,
          INDEX([1]DB!$B:$B,MATCH($E155,[1]DB!$D:$D,0)),
          INDEX([1]DB!$C:$C,MATCH($E155,[1]DB!$D:$D,0))
        )
      ),
      IF(
        COUNTIFS($C$2:C155,C155,$E$2:E155,E155,$D$2:D155,D155)=1,
        INDEX([1]DB!$A:$A,MATCH($E155,[1]DB!$D:$D,0)),
        IF(
          COUNTIFS($C$2:C155,C155,$E$2:E155,E155,$D$2:D155,D155)=2,
          INDEX([1]DB!$B:$B,MATCH($E155,[1]DB!$D:$D,0)),
          INDEX([1]DB!$C:$C,MATCH($E155,[1]DB!$D:$D,0))
        )
      )
    )
  ),
  0
)</f>
        <v>0</v>
      </c>
      <c r="N155" s="9">
        <f>IFERROR(
  IF(
    D155&lt;&gt;"Catherine",
    0,
    IF(
      C155="",
      IF(
        COUNTIFS($B$2:B155,B155,$E$2:E155,E155,$D$2:D155,D155)=1,
        INDEX([1]DB!$A:$A,MATCH($E155,[1]DB!$D:$D,0)),
        IF(
          COUNTIFS($B$2:B155,B155,$E$2:E155,E155,$D$2:D155,D155)=2,
          INDEX([1]DB!$B:$B,MATCH($E155,[1]DB!$D:$D,0)),
          INDEX([1]DB!$C:$C,MATCH($E155,[1]DB!$D:$D,0))
        )
      ),
      IF(
        COUNTIFS($C$2:C155,C155,$E$2:E155,E155,$D$2:D155,D155)=1,
        INDEX([1]DB!$A:$A,MATCH($E155,[1]DB!$D:$D,0)),
        IF(
          COUNTIFS($C$2:C155,C155,$E$2:E155,E155,$D$2:D155,D155)=2,
          INDEX([1]DB!$B:$B,MATCH($E155,[1]DB!$D:$D,0)),
          INDEX([1]DB!$C:$C,MATCH($E155,[1]DB!$D:$D,0))
        )
      )
    )
  ),
  0
)</f>
        <v>0</v>
      </c>
      <c r="O155" s="5" t="str">
        <f>IF(DAY(A155)&lt;=15,UPPER(LEFT(TEXT(A155,"mmmm"),1))&amp;RIGHT(TEXT(A155,"mmmm"),LEN(TEXT(A155,"mmmm"))-1),UPPER(LEFT(TEXT(DATE(YEAR(A155),MONTH(A155)+1,1),"mmmm"),1))&amp;RIGHT(TEXT(DATE(YEAR(A155),MONTH(A155)+1,1),"mmmm"),LEN(TEXT(DATE(YEAR(A155),MONTH(A155)+1,1),"mmmm"))-1))</f>
        <v>Janvier</v>
      </c>
      <c r="P155" s="6" t="str">
        <f ca="1">IF(AND(A155&lt;=TODAY(),F155&lt;&gt;""),"OK","NON")</f>
        <v>NON</v>
      </c>
    </row>
    <row r="156" spans="1:16">
      <c r="A156" s="4"/>
      <c r="B156" s="5"/>
      <c r="C156" s="5"/>
      <c r="D156" s="6"/>
      <c r="E156" s="6"/>
      <c r="F156" s="7"/>
      <c r="G156" s="8" cm="1">
        <f t="array" ref="G156">IFERROR(
  IF(D156&lt;&gt;"Cédric",
     0,
     SUMPRODUCT(
       (TRIM(SUBSTITUTE(UPPER($B$2:$B156),CHAR(160),""))=TRIM(SUBSTITUTE(UPPER(B156),CHAR(160),"")))*
       (TRIM(SUBSTITUTE(UPPER($C$2:$C156),CHAR(160),""))=TRIM(SUBSTITUTE(UPPER(C156),CHAR(160),"")))*
       (TRIM(SUBSTITUTE(UPPER($D$2:$D156),CHAR(160),""))=TRIM(SUBSTITUTE(UPPER(D156),CHAR(160),"")))*
       (TRIM(SUBSTITUTE(UPPER($E$2:$E156),CHAR(160),""))=TRIM(SUBSTITUTE(UPPER(E156),CHAR(160),"")))
     )
  ),
  0
)</f>
        <v>0</v>
      </c>
      <c r="H156" s="8" cm="1">
        <f t="array" ref="H156">IFERROR(
  IF(D156&lt;&gt;"Geoffroy",
     0,
     SUMPRODUCT(
       (TRIM(SUBSTITUTE(UPPER($B$2:$B156),CHAR(160),""))=TRIM(SUBSTITUTE(UPPER(B156),CHAR(160),"")))*
       (TRIM(SUBSTITUTE(UPPER($C$2:$C156),CHAR(160),""))=TRIM(SUBSTITUTE(UPPER(C156),CHAR(160),"")))*
       (TRIM(SUBSTITUTE(UPPER($D$2:$D156),CHAR(160),""))=TRIM(SUBSTITUTE(UPPER(D156),CHAR(160),"")))*
       (TRIM(SUBSTITUTE(UPPER($E$2:$E156),CHAR(160),""))=TRIM(SUBSTITUTE(UPPER(E156),CHAR(160),"")))
     )
  ),
  0
)</f>
        <v>0</v>
      </c>
      <c r="I156" s="8" cm="1">
        <f t="array" ref="I156">IFERROR(
  IF(D156&lt;&gt;"Tiphaine",
     0,
     SUMPRODUCT(
       (TRIM(SUBSTITUTE(UPPER($B$2:$B156),CHAR(160),""))=TRIM(SUBSTITUTE(UPPER(B156),CHAR(160),"")))*
       (TRIM(SUBSTITUTE(UPPER($C$2:$C156),CHAR(160),""))=TRIM(SUBSTITUTE(UPPER(C156),CHAR(160),"")))*
       (TRIM(SUBSTITUTE(UPPER($D$2:$D156),CHAR(160),""))=TRIM(SUBSTITUTE(UPPER(D156),CHAR(160),"")))*
       (TRIM(SUBSTITUTE(UPPER($E$2:$E156),CHAR(160),""))=TRIM(SUBSTITUTE(UPPER(E156),CHAR(160),"")))
     )
  ),
  0
)</f>
        <v>0</v>
      </c>
      <c r="J156" s="8" cm="1">
        <f t="array" ref="J156">IFERROR(
  IF(D156&lt;&gt;"Catherine",
     0,
     SUMPRODUCT(
       (TRIM(SUBSTITUTE(UPPER($B$2:$B156),CHAR(160),""))=TRIM(SUBSTITUTE(UPPER(B156),CHAR(160),"")))*
       (TRIM(SUBSTITUTE(UPPER($C$2:$C156),CHAR(160),""))=TRIM(SUBSTITUTE(UPPER(C156),CHAR(160),"")))*
       (TRIM(SUBSTITUTE(UPPER($D$2:$D156),CHAR(160),""))=TRIM(SUBSTITUTE(UPPER(D156),CHAR(160),"")))*
       (TRIM(SUBSTITUTE(UPPER($E$2:$E156),CHAR(160),""))=TRIM(SUBSTITUTE(UPPER(E156),CHAR(160),"")))
     )
  ),
  0
)</f>
        <v>0</v>
      </c>
      <c r="K156" s="9">
        <f>IFERROR(
  IF(
    D156&lt;&gt;"Cédric",
    0,
    IF(
      C156="",
      IF(
        COUNTIFS($B$2:B156,B156,$E$2:E156,E156,$D$2:D156,D156)=1,
        INDEX([1]DB!$A:$A,MATCH($E156,[1]DB!$D:$D,0)),
        IF(
          COUNTIFS($B$2:B156,B156,$E$2:E156,E156,$D$2:D156,D156)=2,
          INDEX([1]DB!$B:$B,MATCH($E156,[1]DB!$D:$D,0)),
          INDEX([1]DB!$C:$C,MATCH($E156,[1]DB!$D:$D,0))
        )
      ),
      IF(
        COUNTIFS($C$2:C156,C156,$E$2:E156,E156,$D$2:D156,D156)=1,
        INDEX([1]DB!$A:$A,MATCH($E156,[1]DB!$D:$D,0)),
        IF(
          COUNTIFS($C$2:C156,C156,$E$2:E156,E156,$D$2:D156,D156)=2,
          INDEX([1]DB!$B:$B,MATCH($E156,[1]DB!$D:$D,0)),
          INDEX([1]DB!$C:$C,MATCH($E156,[1]DB!$D:$D,0))
        )
      )
    )
  ),
  0
)</f>
        <v>0</v>
      </c>
      <c r="L156" s="9">
        <f>IFERROR(
  IF(
    D156&lt;&gt;"Geoffroy",
    0,
    IF(
      C156="",
      IF(
        COUNTIFS($B$2:B156,B156,$E$2:E156,E156,$D$2:D156,D156)=1,
        INDEX([1]DB!$A:$A,MATCH($E156,[1]DB!$D:$D,0)),
        IF(
          COUNTIFS($B$2:B156,B156,$E$2:E156,E156,$D$2:D156,D156)=2,
          INDEX([1]DB!$B:$B,MATCH($E156,[1]DB!$D:$D,0)),
          INDEX([1]DB!$C:$C,MATCH($E156,[1]DB!$D:$D,0))
        )
      ),
      IF(
        COUNTIFS($C$2:C156,C156,$E$2:E156,E156,$D$2:D156,D156)=1,
        INDEX([1]DB!$A:$A,MATCH($E156,[1]DB!$D:$D,0)),
        IF(
          COUNTIFS($C$2:C156,C156,$E$2:E156,E156,$D$2:D156,D156)=2,
          INDEX([1]DB!$B:$B,MATCH($E156,[1]DB!$D:$D,0)),
          INDEX([1]DB!$C:$C,MATCH($E156,[1]DB!$D:$D,0))
        )
      )
    )
  ),
  0
)</f>
        <v>0</v>
      </c>
      <c r="M156" s="9">
        <f>IFERROR(
  IF(
    D156&lt;&gt;"Tiphaine",
    0,
    IF(
      C156="",
      IF(
        COUNTIFS($B$2:B156,B156,$E$2:E156,E156,$D$2:D156,D156)=1,
        INDEX([1]DB!$A:$A,MATCH($E156,[1]DB!$D:$D,0)),
        IF(
          COUNTIFS($B$2:B156,B156,$E$2:E156,E156,$D$2:D156,D156)=2,
          INDEX([1]DB!$B:$B,MATCH($E156,[1]DB!$D:$D,0)),
          INDEX([1]DB!$C:$C,MATCH($E156,[1]DB!$D:$D,0))
        )
      ),
      IF(
        COUNTIFS($C$2:C156,C156,$E$2:E156,E156,$D$2:D156,D156)=1,
        INDEX([1]DB!$A:$A,MATCH($E156,[1]DB!$D:$D,0)),
        IF(
          COUNTIFS($C$2:C156,C156,$E$2:E156,E156,$D$2:D156,D156)=2,
          INDEX([1]DB!$B:$B,MATCH($E156,[1]DB!$D:$D,0)),
          INDEX([1]DB!$C:$C,MATCH($E156,[1]DB!$D:$D,0))
        )
      )
    )
  ),
  0
)</f>
        <v>0</v>
      </c>
      <c r="N156" s="9">
        <f>IFERROR(
  IF(
    D156&lt;&gt;"Catherine",
    0,
    IF(
      C156="",
      IF(
        COUNTIFS($B$2:B156,B156,$E$2:E156,E156,$D$2:D156,D156)=1,
        INDEX([1]DB!$A:$A,MATCH($E156,[1]DB!$D:$D,0)),
        IF(
          COUNTIFS($B$2:B156,B156,$E$2:E156,E156,$D$2:D156,D156)=2,
          INDEX([1]DB!$B:$B,MATCH($E156,[1]DB!$D:$D,0)),
          INDEX([1]DB!$C:$C,MATCH($E156,[1]DB!$D:$D,0))
        )
      ),
      IF(
        COUNTIFS($C$2:C156,C156,$E$2:E156,E156,$D$2:D156,D156)=1,
        INDEX([1]DB!$A:$A,MATCH($E156,[1]DB!$D:$D,0)),
        IF(
          COUNTIFS($C$2:C156,C156,$E$2:E156,E156,$D$2:D156,D156)=2,
          INDEX([1]DB!$B:$B,MATCH($E156,[1]DB!$D:$D,0)),
          INDEX([1]DB!$C:$C,MATCH($E156,[1]DB!$D:$D,0))
        )
      )
    )
  ),
  0
)</f>
        <v>0</v>
      </c>
      <c r="O156" s="5" t="str">
        <f>IF(DAY(A156)&lt;=15,UPPER(LEFT(TEXT(A156,"mmmm"),1))&amp;RIGHT(TEXT(A156,"mmmm"),LEN(TEXT(A156,"mmmm"))-1),UPPER(LEFT(TEXT(DATE(YEAR(A156),MONTH(A156)+1,1),"mmmm"),1))&amp;RIGHT(TEXT(DATE(YEAR(A156),MONTH(A156)+1,1),"mmmm"),LEN(TEXT(DATE(YEAR(A156),MONTH(A156)+1,1),"mmmm"))-1))</f>
        <v>Janvier</v>
      </c>
      <c r="P156" s="6" t="str">
        <f ca="1">IF(AND(A156&lt;=TODAY(),F156&lt;&gt;""),"OK","NON")</f>
        <v>NON</v>
      </c>
    </row>
    <row r="157" spans="1:16">
      <c r="A157" s="4"/>
      <c r="B157" s="5"/>
      <c r="C157" s="5"/>
      <c r="D157" s="6"/>
      <c r="E157" s="6"/>
      <c r="F157" s="7"/>
      <c r="G157" s="8" cm="1">
        <f t="array" ref="G157">IFERROR(
  IF(D157&lt;&gt;"Cédric",
     0,
     SUMPRODUCT(
       (TRIM(SUBSTITUTE(UPPER($B$2:$B157),CHAR(160),""))=TRIM(SUBSTITUTE(UPPER(B157),CHAR(160),"")))*
       (TRIM(SUBSTITUTE(UPPER($C$2:$C157),CHAR(160),""))=TRIM(SUBSTITUTE(UPPER(C157),CHAR(160),"")))*
       (TRIM(SUBSTITUTE(UPPER($D$2:$D157),CHAR(160),""))=TRIM(SUBSTITUTE(UPPER(D157),CHAR(160),"")))*
       (TRIM(SUBSTITUTE(UPPER($E$2:$E157),CHAR(160),""))=TRIM(SUBSTITUTE(UPPER(E157),CHAR(160),"")))
     )
  ),
  0
)</f>
        <v>0</v>
      </c>
      <c r="H157" s="8" cm="1">
        <f t="array" ref="H157">IFERROR(
  IF(D157&lt;&gt;"Geoffroy",
     0,
     SUMPRODUCT(
       (TRIM(SUBSTITUTE(UPPER($B$2:$B157),CHAR(160),""))=TRIM(SUBSTITUTE(UPPER(B157),CHAR(160),"")))*
       (TRIM(SUBSTITUTE(UPPER($C$2:$C157),CHAR(160),""))=TRIM(SUBSTITUTE(UPPER(C157),CHAR(160),"")))*
       (TRIM(SUBSTITUTE(UPPER($D$2:$D157),CHAR(160),""))=TRIM(SUBSTITUTE(UPPER(D157),CHAR(160),"")))*
       (TRIM(SUBSTITUTE(UPPER($E$2:$E157),CHAR(160),""))=TRIM(SUBSTITUTE(UPPER(E157),CHAR(160),"")))
     )
  ),
  0
)</f>
        <v>0</v>
      </c>
      <c r="I157" s="8" cm="1">
        <f t="array" ref="I157">IFERROR(
  IF(D157&lt;&gt;"Tiphaine",
     0,
     SUMPRODUCT(
       (TRIM(SUBSTITUTE(UPPER($B$2:$B157),CHAR(160),""))=TRIM(SUBSTITUTE(UPPER(B157),CHAR(160),"")))*
       (TRIM(SUBSTITUTE(UPPER($C$2:$C157),CHAR(160),""))=TRIM(SUBSTITUTE(UPPER(C157),CHAR(160),"")))*
       (TRIM(SUBSTITUTE(UPPER($D$2:$D157),CHAR(160),""))=TRIM(SUBSTITUTE(UPPER(D157),CHAR(160),"")))*
       (TRIM(SUBSTITUTE(UPPER($E$2:$E157),CHAR(160),""))=TRIM(SUBSTITUTE(UPPER(E157),CHAR(160),"")))
     )
  ),
  0
)</f>
        <v>0</v>
      </c>
      <c r="J157" s="8" cm="1">
        <f t="array" ref="J157">IFERROR(
  IF(D157&lt;&gt;"Catherine",
     0,
     SUMPRODUCT(
       (TRIM(SUBSTITUTE(UPPER($B$2:$B157),CHAR(160),""))=TRIM(SUBSTITUTE(UPPER(B157),CHAR(160),"")))*
       (TRIM(SUBSTITUTE(UPPER($C$2:$C157),CHAR(160),""))=TRIM(SUBSTITUTE(UPPER(C157),CHAR(160),"")))*
       (TRIM(SUBSTITUTE(UPPER($D$2:$D157),CHAR(160),""))=TRIM(SUBSTITUTE(UPPER(D157),CHAR(160),"")))*
       (TRIM(SUBSTITUTE(UPPER($E$2:$E157),CHAR(160),""))=TRIM(SUBSTITUTE(UPPER(E157),CHAR(160),"")))
     )
  ),
  0
)</f>
        <v>0</v>
      </c>
      <c r="K157" s="9">
        <f>IFERROR(
  IF(
    D157&lt;&gt;"Cédric",
    0,
    IF(
      C157="",
      IF(
        COUNTIFS($B$2:B157,B157,$E$2:E157,E157,$D$2:D157,D157)=1,
        INDEX([1]DB!$A:$A,MATCH($E157,[1]DB!$D:$D,0)),
        IF(
          COUNTIFS($B$2:B157,B157,$E$2:E157,E157,$D$2:D157,D157)=2,
          INDEX([1]DB!$B:$B,MATCH($E157,[1]DB!$D:$D,0)),
          INDEX([1]DB!$C:$C,MATCH($E157,[1]DB!$D:$D,0))
        )
      ),
      IF(
        COUNTIFS($C$2:C157,C157,$E$2:E157,E157,$D$2:D157,D157)=1,
        INDEX([1]DB!$A:$A,MATCH($E157,[1]DB!$D:$D,0)),
        IF(
          COUNTIFS($C$2:C157,C157,$E$2:E157,E157,$D$2:D157,D157)=2,
          INDEX([1]DB!$B:$B,MATCH($E157,[1]DB!$D:$D,0)),
          INDEX([1]DB!$C:$C,MATCH($E157,[1]DB!$D:$D,0))
        )
      )
    )
  ),
  0
)</f>
        <v>0</v>
      </c>
      <c r="L157" s="9">
        <f>IFERROR(
  IF(
    D157&lt;&gt;"Geoffroy",
    0,
    IF(
      C157="",
      IF(
        COUNTIFS($B$2:B157,B157,$E$2:E157,E157,$D$2:D157,D157)=1,
        INDEX([1]DB!$A:$A,MATCH($E157,[1]DB!$D:$D,0)),
        IF(
          COUNTIFS($B$2:B157,B157,$E$2:E157,E157,$D$2:D157,D157)=2,
          INDEX([1]DB!$B:$B,MATCH($E157,[1]DB!$D:$D,0)),
          INDEX([1]DB!$C:$C,MATCH($E157,[1]DB!$D:$D,0))
        )
      ),
      IF(
        COUNTIFS($C$2:C157,C157,$E$2:E157,E157,$D$2:D157,D157)=1,
        INDEX([1]DB!$A:$A,MATCH($E157,[1]DB!$D:$D,0)),
        IF(
          COUNTIFS($C$2:C157,C157,$E$2:E157,E157,$D$2:D157,D157)=2,
          INDEX([1]DB!$B:$B,MATCH($E157,[1]DB!$D:$D,0)),
          INDEX([1]DB!$C:$C,MATCH($E157,[1]DB!$D:$D,0))
        )
      )
    )
  ),
  0
)</f>
        <v>0</v>
      </c>
      <c r="M157" s="9">
        <f>IFERROR(
  IF(
    D157&lt;&gt;"Tiphaine",
    0,
    IF(
      C157="",
      IF(
        COUNTIFS($B$2:B157,B157,$E$2:E157,E157,$D$2:D157,D157)=1,
        INDEX([1]DB!$A:$A,MATCH($E157,[1]DB!$D:$D,0)),
        IF(
          COUNTIFS($B$2:B157,B157,$E$2:E157,E157,$D$2:D157,D157)=2,
          INDEX([1]DB!$B:$B,MATCH($E157,[1]DB!$D:$D,0)),
          INDEX([1]DB!$C:$C,MATCH($E157,[1]DB!$D:$D,0))
        )
      ),
      IF(
        COUNTIFS($C$2:C157,C157,$E$2:E157,E157,$D$2:D157,D157)=1,
        INDEX([1]DB!$A:$A,MATCH($E157,[1]DB!$D:$D,0)),
        IF(
          COUNTIFS($C$2:C157,C157,$E$2:E157,E157,$D$2:D157,D157)=2,
          INDEX([1]DB!$B:$B,MATCH($E157,[1]DB!$D:$D,0)),
          INDEX([1]DB!$C:$C,MATCH($E157,[1]DB!$D:$D,0))
        )
      )
    )
  ),
  0
)</f>
        <v>0</v>
      </c>
      <c r="N157" s="9">
        <f>IFERROR(
  IF(
    D157&lt;&gt;"Catherine",
    0,
    IF(
      C157="",
      IF(
        COUNTIFS($B$2:B157,B157,$E$2:E157,E157,$D$2:D157,D157)=1,
        INDEX([1]DB!$A:$A,MATCH($E157,[1]DB!$D:$D,0)),
        IF(
          COUNTIFS($B$2:B157,B157,$E$2:E157,E157,$D$2:D157,D157)=2,
          INDEX([1]DB!$B:$B,MATCH($E157,[1]DB!$D:$D,0)),
          INDEX([1]DB!$C:$C,MATCH($E157,[1]DB!$D:$D,0))
        )
      ),
      IF(
        COUNTIFS($C$2:C157,C157,$E$2:E157,E157,$D$2:D157,D157)=1,
        INDEX([1]DB!$A:$A,MATCH($E157,[1]DB!$D:$D,0)),
        IF(
          COUNTIFS($C$2:C157,C157,$E$2:E157,E157,$D$2:D157,D157)=2,
          INDEX([1]DB!$B:$B,MATCH($E157,[1]DB!$D:$D,0)),
          INDEX([1]DB!$C:$C,MATCH($E157,[1]DB!$D:$D,0))
        )
      )
    )
  ),
  0
)</f>
        <v>0</v>
      </c>
      <c r="O157" s="5" t="str">
        <f>IF(DAY(A157)&lt;=15,UPPER(LEFT(TEXT(A157,"mmmm"),1))&amp;RIGHT(TEXT(A157,"mmmm"),LEN(TEXT(A157,"mmmm"))-1),UPPER(LEFT(TEXT(DATE(YEAR(A157),MONTH(A157)+1,1),"mmmm"),1))&amp;RIGHT(TEXT(DATE(YEAR(A157),MONTH(A157)+1,1),"mmmm"),LEN(TEXT(DATE(YEAR(A157),MONTH(A157)+1,1),"mmmm"))-1))</f>
        <v>Janvier</v>
      </c>
      <c r="P157" s="6" t="str">
        <f ca="1">IF(AND(A157&lt;=TODAY(),F157&lt;&gt;""),"OK","NON")</f>
        <v>NON</v>
      </c>
    </row>
    <row r="158" spans="1:16">
      <c r="A158" s="4"/>
      <c r="B158" s="5"/>
      <c r="C158" s="5"/>
      <c r="D158" s="6"/>
      <c r="E158" s="6"/>
      <c r="F158" s="7"/>
      <c r="G158" s="8" cm="1">
        <f t="array" ref="G158">IFERROR(
  IF(D158&lt;&gt;"Cédric",
     0,
     SUMPRODUCT(
       (TRIM(SUBSTITUTE(UPPER($B$2:$B158),CHAR(160),""))=TRIM(SUBSTITUTE(UPPER(B158),CHAR(160),"")))*
       (TRIM(SUBSTITUTE(UPPER($C$2:$C158),CHAR(160),""))=TRIM(SUBSTITUTE(UPPER(C158),CHAR(160),"")))*
       (TRIM(SUBSTITUTE(UPPER($D$2:$D158),CHAR(160),""))=TRIM(SUBSTITUTE(UPPER(D158),CHAR(160),"")))*
       (TRIM(SUBSTITUTE(UPPER($E$2:$E158),CHAR(160),""))=TRIM(SUBSTITUTE(UPPER(E158),CHAR(160),"")))
     )
  ),
  0
)</f>
        <v>0</v>
      </c>
      <c r="H158" s="8" cm="1">
        <f t="array" ref="H158">IFERROR(
  IF(D158&lt;&gt;"Geoffroy",
     0,
     SUMPRODUCT(
       (TRIM(SUBSTITUTE(UPPER($B$2:$B158),CHAR(160),""))=TRIM(SUBSTITUTE(UPPER(B158),CHAR(160),"")))*
       (TRIM(SUBSTITUTE(UPPER($C$2:$C158),CHAR(160),""))=TRIM(SUBSTITUTE(UPPER(C158),CHAR(160),"")))*
       (TRIM(SUBSTITUTE(UPPER($D$2:$D158),CHAR(160),""))=TRIM(SUBSTITUTE(UPPER(D158),CHAR(160),"")))*
       (TRIM(SUBSTITUTE(UPPER($E$2:$E158),CHAR(160),""))=TRIM(SUBSTITUTE(UPPER(E158),CHAR(160),"")))
     )
  ),
  0
)</f>
        <v>0</v>
      </c>
      <c r="I158" s="8" cm="1">
        <f t="array" ref="I158">IFERROR(
  IF(D158&lt;&gt;"Tiphaine",
     0,
     SUMPRODUCT(
       (TRIM(SUBSTITUTE(UPPER($B$2:$B158),CHAR(160),""))=TRIM(SUBSTITUTE(UPPER(B158),CHAR(160),"")))*
       (TRIM(SUBSTITUTE(UPPER($C$2:$C158),CHAR(160),""))=TRIM(SUBSTITUTE(UPPER(C158),CHAR(160),"")))*
       (TRIM(SUBSTITUTE(UPPER($D$2:$D158),CHAR(160),""))=TRIM(SUBSTITUTE(UPPER(D158),CHAR(160),"")))*
       (TRIM(SUBSTITUTE(UPPER($E$2:$E158),CHAR(160),""))=TRIM(SUBSTITUTE(UPPER(E158),CHAR(160),"")))
     )
  ),
  0
)</f>
        <v>0</v>
      </c>
      <c r="J158" s="8" cm="1">
        <f t="array" ref="J158">IFERROR(
  IF(D158&lt;&gt;"Catherine",
     0,
     SUMPRODUCT(
       (TRIM(SUBSTITUTE(UPPER($B$2:$B158),CHAR(160),""))=TRIM(SUBSTITUTE(UPPER(B158),CHAR(160),"")))*
       (TRIM(SUBSTITUTE(UPPER($C$2:$C158),CHAR(160),""))=TRIM(SUBSTITUTE(UPPER(C158),CHAR(160),"")))*
       (TRIM(SUBSTITUTE(UPPER($D$2:$D158),CHAR(160),""))=TRIM(SUBSTITUTE(UPPER(D158),CHAR(160),"")))*
       (TRIM(SUBSTITUTE(UPPER($E$2:$E158),CHAR(160),""))=TRIM(SUBSTITUTE(UPPER(E158),CHAR(160),"")))
     )
  ),
  0
)</f>
        <v>0</v>
      </c>
      <c r="K158" s="9">
        <f>IFERROR(
  IF(
    D158&lt;&gt;"Cédric",
    0,
    IF(
      C158="",
      IF(
        COUNTIFS($B$2:B158,B158,$E$2:E158,E158,$D$2:D158,D158)=1,
        INDEX([1]DB!$A:$A,MATCH($E158,[1]DB!$D:$D,0)),
        IF(
          COUNTIFS($B$2:B158,B158,$E$2:E158,E158,$D$2:D158,D158)=2,
          INDEX([1]DB!$B:$B,MATCH($E158,[1]DB!$D:$D,0)),
          INDEX([1]DB!$C:$C,MATCH($E158,[1]DB!$D:$D,0))
        )
      ),
      IF(
        COUNTIFS($C$2:C158,C158,$E$2:E158,E158,$D$2:D158,D158)=1,
        INDEX([1]DB!$A:$A,MATCH($E158,[1]DB!$D:$D,0)),
        IF(
          COUNTIFS($C$2:C158,C158,$E$2:E158,E158,$D$2:D158,D158)=2,
          INDEX([1]DB!$B:$B,MATCH($E158,[1]DB!$D:$D,0)),
          INDEX([1]DB!$C:$C,MATCH($E158,[1]DB!$D:$D,0))
        )
      )
    )
  ),
  0
)</f>
        <v>0</v>
      </c>
      <c r="L158" s="9">
        <f>IFERROR(
  IF(
    D158&lt;&gt;"Geoffroy",
    0,
    IF(
      C158="",
      IF(
        COUNTIFS($B$2:B158,B158,$E$2:E158,E158,$D$2:D158,D158)=1,
        INDEX([1]DB!$A:$A,MATCH($E158,[1]DB!$D:$D,0)),
        IF(
          COUNTIFS($B$2:B158,B158,$E$2:E158,E158,$D$2:D158,D158)=2,
          INDEX([1]DB!$B:$B,MATCH($E158,[1]DB!$D:$D,0)),
          INDEX([1]DB!$C:$C,MATCH($E158,[1]DB!$D:$D,0))
        )
      ),
      IF(
        COUNTIFS($C$2:C158,C158,$E$2:E158,E158,$D$2:D158,D158)=1,
        INDEX([1]DB!$A:$A,MATCH($E158,[1]DB!$D:$D,0)),
        IF(
          COUNTIFS($C$2:C158,C158,$E$2:E158,E158,$D$2:D158,D158)=2,
          INDEX([1]DB!$B:$B,MATCH($E158,[1]DB!$D:$D,0)),
          INDEX([1]DB!$C:$C,MATCH($E158,[1]DB!$D:$D,0))
        )
      )
    )
  ),
  0
)</f>
        <v>0</v>
      </c>
      <c r="M158" s="9">
        <f>IFERROR(
  IF(
    D158&lt;&gt;"Tiphaine",
    0,
    IF(
      C158="",
      IF(
        COUNTIFS($B$2:B158,B158,$E$2:E158,E158,$D$2:D158,D158)=1,
        INDEX([1]DB!$A:$A,MATCH($E158,[1]DB!$D:$D,0)),
        IF(
          COUNTIFS($B$2:B158,B158,$E$2:E158,E158,$D$2:D158,D158)=2,
          INDEX([1]DB!$B:$B,MATCH($E158,[1]DB!$D:$D,0)),
          INDEX([1]DB!$C:$C,MATCH($E158,[1]DB!$D:$D,0))
        )
      ),
      IF(
        COUNTIFS($C$2:C158,C158,$E$2:E158,E158,$D$2:D158,D158)=1,
        INDEX([1]DB!$A:$A,MATCH($E158,[1]DB!$D:$D,0)),
        IF(
          COUNTIFS($C$2:C158,C158,$E$2:E158,E158,$D$2:D158,D158)=2,
          INDEX([1]DB!$B:$B,MATCH($E158,[1]DB!$D:$D,0)),
          INDEX([1]DB!$C:$C,MATCH($E158,[1]DB!$D:$D,0))
        )
      )
    )
  ),
  0
)</f>
        <v>0</v>
      </c>
      <c r="N158" s="9">
        <f>IFERROR(
  IF(
    D158&lt;&gt;"Catherine",
    0,
    IF(
      C158="",
      IF(
        COUNTIFS($B$2:B158,B158,$E$2:E158,E158,$D$2:D158,D158)=1,
        INDEX([1]DB!$A:$A,MATCH($E158,[1]DB!$D:$D,0)),
        IF(
          COUNTIFS($B$2:B158,B158,$E$2:E158,E158,$D$2:D158,D158)=2,
          INDEX([1]DB!$B:$B,MATCH($E158,[1]DB!$D:$D,0)),
          INDEX([1]DB!$C:$C,MATCH($E158,[1]DB!$D:$D,0))
        )
      ),
      IF(
        COUNTIFS($C$2:C158,C158,$E$2:E158,E158,$D$2:D158,D158)=1,
        INDEX([1]DB!$A:$A,MATCH($E158,[1]DB!$D:$D,0)),
        IF(
          COUNTIFS($C$2:C158,C158,$E$2:E158,E158,$D$2:D158,D158)=2,
          INDEX([1]DB!$B:$B,MATCH($E158,[1]DB!$D:$D,0)),
          INDEX([1]DB!$C:$C,MATCH($E158,[1]DB!$D:$D,0))
        )
      )
    )
  ),
  0
)</f>
        <v>0</v>
      </c>
      <c r="O158" s="5" t="str">
        <f>IF(DAY(A158)&lt;=15,UPPER(LEFT(TEXT(A158,"mmmm"),1))&amp;RIGHT(TEXT(A158,"mmmm"),LEN(TEXT(A158,"mmmm"))-1),UPPER(LEFT(TEXT(DATE(YEAR(A158),MONTH(A158)+1,1),"mmmm"),1))&amp;RIGHT(TEXT(DATE(YEAR(A158),MONTH(A158)+1,1),"mmmm"),LEN(TEXT(DATE(YEAR(A158),MONTH(A158)+1,1),"mmmm"))-1))</f>
        <v>Janvier</v>
      </c>
      <c r="P158" s="6" t="str">
        <f ca="1">IF(AND(A158&lt;=TODAY(),F158&lt;&gt;""),"OK","NON")</f>
        <v>NON</v>
      </c>
    </row>
    <row r="159" spans="1:16">
      <c r="A159" s="4"/>
      <c r="B159" s="5"/>
      <c r="C159" s="5"/>
      <c r="D159" s="6"/>
      <c r="E159" s="6"/>
      <c r="F159" s="7"/>
      <c r="G159" s="8" cm="1">
        <f t="array" ref="G159">IFERROR(
  IF(D159&lt;&gt;"Cédric",
     0,
     SUMPRODUCT(
       (TRIM(SUBSTITUTE(UPPER($B$2:$B159),CHAR(160),""))=TRIM(SUBSTITUTE(UPPER(B159),CHAR(160),"")))*
       (TRIM(SUBSTITUTE(UPPER($C$2:$C159),CHAR(160),""))=TRIM(SUBSTITUTE(UPPER(C159),CHAR(160),"")))*
       (TRIM(SUBSTITUTE(UPPER($D$2:$D159),CHAR(160),""))=TRIM(SUBSTITUTE(UPPER(D159),CHAR(160),"")))*
       (TRIM(SUBSTITUTE(UPPER($E$2:$E159),CHAR(160),""))=TRIM(SUBSTITUTE(UPPER(E159),CHAR(160),"")))
     )
  ),
  0
)</f>
        <v>0</v>
      </c>
      <c r="H159" s="8" cm="1">
        <f t="array" ref="H159">IFERROR(
  IF(D159&lt;&gt;"Geoffroy",
     0,
     SUMPRODUCT(
       (TRIM(SUBSTITUTE(UPPER($B$2:$B159),CHAR(160),""))=TRIM(SUBSTITUTE(UPPER(B159),CHAR(160),"")))*
       (TRIM(SUBSTITUTE(UPPER($C$2:$C159),CHAR(160),""))=TRIM(SUBSTITUTE(UPPER(C159),CHAR(160),"")))*
       (TRIM(SUBSTITUTE(UPPER($D$2:$D159),CHAR(160),""))=TRIM(SUBSTITUTE(UPPER(D159),CHAR(160),"")))*
       (TRIM(SUBSTITUTE(UPPER($E$2:$E159),CHAR(160),""))=TRIM(SUBSTITUTE(UPPER(E159),CHAR(160),"")))
     )
  ),
  0
)</f>
        <v>0</v>
      </c>
      <c r="I159" s="8" cm="1">
        <f t="array" ref="I159">IFERROR(
  IF(D159&lt;&gt;"Tiphaine",
     0,
     SUMPRODUCT(
       (TRIM(SUBSTITUTE(UPPER($B$2:$B159),CHAR(160),""))=TRIM(SUBSTITUTE(UPPER(B159),CHAR(160),"")))*
       (TRIM(SUBSTITUTE(UPPER($C$2:$C159),CHAR(160),""))=TRIM(SUBSTITUTE(UPPER(C159),CHAR(160),"")))*
       (TRIM(SUBSTITUTE(UPPER($D$2:$D159),CHAR(160),""))=TRIM(SUBSTITUTE(UPPER(D159),CHAR(160),"")))*
       (TRIM(SUBSTITUTE(UPPER($E$2:$E159),CHAR(160),""))=TRIM(SUBSTITUTE(UPPER(E159),CHAR(160),"")))
     )
  ),
  0
)</f>
        <v>0</v>
      </c>
      <c r="J159" s="8" cm="1">
        <f t="array" ref="J159">IFERROR(
  IF(D159&lt;&gt;"Catherine",
     0,
     SUMPRODUCT(
       (TRIM(SUBSTITUTE(UPPER($B$2:$B159),CHAR(160),""))=TRIM(SUBSTITUTE(UPPER(B159),CHAR(160),"")))*
       (TRIM(SUBSTITUTE(UPPER($C$2:$C159),CHAR(160),""))=TRIM(SUBSTITUTE(UPPER(C159),CHAR(160),"")))*
       (TRIM(SUBSTITUTE(UPPER($D$2:$D159),CHAR(160),""))=TRIM(SUBSTITUTE(UPPER(D159),CHAR(160),"")))*
       (TRIM(SUBSTITUTE(UPPER($E$2:$E159),CHAR(160),""))=TRIM(SUBSTITUTE(UPPER(E159),CHAR(160),"")))
     )
  ),
  0
)</f>
        <v>0</v>
      </c>
      <c r="K159" s="9">
        <f>IFERROR(
  IF(
    D159&lt;&gt;"Cédric",
    0,
    IF(
      C159="",
      IF(
        COUNTIFS($B$2:B159,B159,$E$2:E159,E159,$D$2:D159,D159)=1,
        INDEX([1]DB!$A:$A,MATCH($E159,[1]DB!$D:$D,0)),
        IF(
          COUNTIFS($B$2:B159,B159,$E$2:E159,E159,$D$2:D159,D159)=2,
          INDEX([1]DB!$B:$B,MATCH($E159,[1]DB!$D:$D,0)),
          INDEX([1]DB!$C:$C,MATCH($E159,[1]DB!$D:$D,0))
        )
      ),
      IF(
        COUNTIFS($C$2:C159,C159,$E$2:E159,E159,$D$2:D159,D159)=1,
        INDEX([1]DB!$A:$A,MATCH($E159,[1]DB!$D:$D,0)),
        IF(
          COUNTIFS($C$2:C159,C159,$E$2:E159,E159,$D$2:D159,D159)=2,
          INDEX([1]DB!$B:$B,MATCH($E159,[1]DB!$D:$D,0)),
          INDEX([1]DB!$C:$C,MATCH($E159,[1]DB!$D:$D,0))
        )
      )
    )
  ),
  0
)</f>
        <v>0</v>
      </c>
      <c r="L159" s="9">
        <f>IFERROR(
  IF(
    D159&lt;&gt;"Geoffroy",
    0,
    IF(
      C159="",
      IF(
        COUNTIFS($B$2:B159,B159,$E$2:E159,E159,$D$2:D159,D159)=1,
        INDEX([1]DB!$A:$A,MATCH($E159,[1]DB!$D:$D,0)),
        IF(
          COUNTIFS($B$2:B159,B159,$E$2:E159,E159,$D$2:D159,D159)=2,
          INDEX([1]DB!$B:$B,MATCH($E159,[1]DB!$D:$D,0)),
          INDEX([1]DB!$C:$C,MATCH($E159,[1]DB!$D:$D,0))
        )
      ),
      IF(
        COUNTIFS($C$2:C159,C159,$E$2:E159,E159,$D$2:D159,D159)=1,
        INDEX([1]DB!$A:$A,MATCH($E159,[1]DB!$D:$D,0)),
        IF(
          COUNTIFS($C$2:C159,C159,$E$2:E159,E159,$D$2:D159,D159)=2,
          INDEX([1]DB!$B:$B,MATCH($E159,[1]DB!$D:$D,0)),
          INDEX([1]DB!$C:$C,MATCH($E159,[1]DB!$D:$D,0))
        )
      )
    )
  ),
  0
)</f>
        <v>0</v>
      </c>
      <c r="M159" s="9">
        <f>IFERROR(
  IF(
    D159&lt;&gt;"Tiphaine",
    0,
    IF(
      C159="",
      IF(
        COUNTIFS($B$2:B159,B159,$E$2:E159,E159,$D$2:D159,D159)=1,
        INDEX([1]DB!$A:$A,MATCH($E159,[1]DB!$D:$D,0)),
        IF(
          COUNTIFS($B$2:B159,B159,$E$2:E159,E159,$D$2:D159,D159)=2,
          INDEX([1]DB!$B:$B,MATCH($E159,[1]DB!$D:$D,0)),
          INDEX([1]DB!$C:$C,MATCH($E159,[1]DB!$D:$D,0))
        )
      ),
      IF(
        COUNTIFS($C$2:C159,C159,$E$2:E159,E159,$D$2:D159,D159)=1,
        INDEX([1]DB!$A:$A,MATCH($E159,[1]DB!$D:$D,0)),
        IF(
          COUNTIFS($C$2:C159,C159,$E$2:E159,E159,$D$2:D159,D159)=2,
          INDEX([1]DB!$B:$B,MATCH($E159,[1]DB!$D:$D,0)),
          INDEX([1]DB!$C:$C,MATCH($E159,[1]DB!$D:$D,0))
        )
      )
    )
  ),
  0
)</f>
        <v>0</v>
      </c>
      <c r="N159" s="9">
        <f>IFERROR(
  IF(
    D159&lt;&gt;"Catherine",
    0,
    IF(
      C159="",
      IF(
        COUNTIFS($B$2:B159,B159,$E$2:E159,E159,$D$2:D159,D159)=1,
        INDEX([1]DB!$A:$A,MATCH($E159,[1]DB!$D:$D,0)),
        IF(
          COUNTIFS($B$2:B159,B159,$E$2:E159,E159,$D$2:D159,D159)=2,
          INDEX([1]DB!$B:$B,MATCH($E159,[1]DB!$D:$D,0)),
          INDEX([1]DB!$C:$C,MATCH($E159,[1]DB!$D:$D,0))
        )
      ),
      IF(
        COUNTIFS($C$2:C159,C159,$E$2:E159,E159,$D$2:D159,D159)=1,
        INDEX([1]DB!$A:$A,MATCH($E159,[1]DB!$D:$D,0)),
        IF(
          COUNTIFS($C$2:C159,C159,$E$2:E159,E159,$D$2:D159,D159)=2,
          INDEX([1]DB!$B:$B,MATCH($E159,[1]DB!$D:$D,0)),
          INDEX([1]DB!$C:$C,MATCH($E159,[1]DB!$D:$D,0))
        )
      )
    )
  ),
  0
)</f>
        <v>0</v>
      </c>
      <c r="O159" s="5" t="str">
        <f>IF(DAY(A159)&lt;=15,UPPER(LEFT(TEXT(A159,"mmmm"),1))&amp;RIGHT(TEXT(A159,"mmmm"),LEN(TEXT(A159,"mmmm"))-1),UPPER(LEFT(TEXT(DATE(YEAR(A159),MONTH(A159)+1,1),"mmmm"),1))&amp;RIGHT(TEXT(DATE(YEAR(A159),MONTH(A159)+1,1),"mmmm"),LEN(TEXT(DATE(YEAR(A159),MONTH(A159)+1,1),"mmmm"))-1))</f>
        <v>Janvier</v>
      </c>
      <c r="P159" s="6" t="str">
        <f ca="1">IF(AND(A159&lt;=TODAY(),F159&lt;&gt;""),"OK","NON")</f>
        <v>NON</v>
      </c>
    </row>
    <row r="160" spans="1:16">
      <c r="A160" s="4"/>
      <c r="B160" s="5"/>
      <c r="C160" s="5"/>
      <c r="D160" s="6"/>
      <c r="E160" s="6"/>
      <c r="F160" s="7"/>
      <c r="G160" s="8" cm="1">
        <f t="array" ref="G160">IFERROR(
  IF(D160&lt;&gt;"Cédric",
     0,
     SUMPRODUCT(
       (TRIM(SUBSTITUTE(UPPER($B$2:$B160),CHAR(160),""))=TRIM(SUBSTITUTE(UPPER(B160),CHAR(160),"")))*
       (TRIM(SUBSTITUTE(UPPER($C$2:$C160),CHAR(160),""))=TRIM(SUBSTITUTE(UPPER(C160),CHAR(160),"")))*
       (TRIM(SUBSTITUTE(UPPER($D$2:$D160),CHAR(160),""))=TRIM(SUBSTITUTE(UPPER(D160),CHAR(160),"")))*
       (TRIM(SUBSTITUTE(UPPER($E$2:$E160),CHAR(160),""))=TRIM(SUBSTITUTE(UPPER(E160),CHAR(160),"")))
     )
  ),
  0
)</f>
        <v>0</v>
      </c>
      <c r="H160" s="8" cm="1">
        <f t="array" ref="H160">IFERROR(
  IF(D160&lt;&gt;"Geoffroy",
     0,
     SUMPRODUCT(
       (TRIM(SUBSTITUTE(UPPER($B$2:$B160),CHAR(160),""))=TRIM(SUBSTITUTE(UPPER(B160),CHAR(160),"")))*
       (TRIM(SUBSTITUTE(UPPER($C$2:$C160),CHAR(160),""))=TRIM(SUBSTITUTE(UPPER(C160),CHAR(160),"")))*
       (TRIM(SUBSTITUTE(UPPER($D$2:$D160),CHAR(160),""))=TRIM(SUBSTITUTE(UPPER(D160),CHAR(160),"")))*
       (TRIM(SUBSTITUTE(UPPER($E$2:$E160),CHAR(160),""))=TRIM(SUBSTITUTE(UPPER(E160),CHAR(160),"")))
     )
  ),
  0
)</f>
        <v>0</v>
      </c>
      <c r="I160" s="8" cm="1">
        <f t="array" ref="I160">IFERROR(
  IF(D160&lt;&gt;"Tiphaine",
     0,
     SUMPRODUCT(
       (TRIM(SUBSTITUTE(UPPER($B$2:$B160),CHAR(160),""))=TRIM(SUBSTITUTE(UPPER(B160),CHAR(160),"")))*
       (TRIM(SUBSTITUTE(UPPER($C$2:$C160),CHAR(160),""))=TRIM(SUBSTITUTE(UPPER(C160),CHAR(160),"")))*
       (TRIM(SUBSTITUTE(UPPER($D$2:$D160),CHAR(160),""))=TRIM(SUBSTITUTE(UPPER(D160),CHAR(160),"")))*
       (TRIM(SUBSTITUTE(UPPER($E$2:$E160),CHAR(160),""))=TRIM(SUBSTITUTE(UPPER(E160),CHAR(160),"")))
     )
  ),
  0
)</f>
        <v>0</v>
      </c>
      <c r="J160" s="8" cm="1">
        <f t="array" ref="J160">IFERROR(
  IF(D160&lt;&gt;"Catherine",
     0,
     SUMPRODUCT(
       (TRIM(SUBSTITUTE(UPPER($B$2:$B160),CHAR(160),""))=TRIM(SUBSTITUTE(UPPER(B160),CHAR(160),"")))*
       (TRIM(SUBSTITUTE(UPPER($C$2:$C160),CHAR(160),""))=TRIM(SUBSTITUTE(UPPER(C160),CHAR(160),"")))*
       (TRIM(SUBSTITUTE(UPPER($D$2:$D160),CHAR(160),""))=TRIM(SUBSTITUTE(UPPER(D160),CHAR(160),"")))*
       (TRIM(SUBSTITUTE(UPPER($E$2:$E160),CHAR(160),""))=TRIM(SUBSTITUTE(UPPER(E160),CHAR(160),"")))
     )
  ),
  0
)</f>
        <v>0</v>
      </c>
      <c r="K160" s="9">
        <f>IFERROR(
  IF(
    D160&lt;&gt;"Cédric",
    0,
    IF(
      C160="",
      IF(
        COUNTIFS($B$2:B160,B160,$E$2:E160,E160,$D$2:D160,D160)=1,
        INDEX([1]DB!$A:$A,MATCH($E160,[1]DB!$D:$D,0)),
        IF(
          COUNTIFS($B$2:B160,B160,$E$2:E160,E160,$D$2:D160,D160)=2,
          INDEX([1]DB!$B:$B,MATCH($E160,[1]DB!$D:$D,0)),
          INDEX([1]DB!$C:$C,MATCH($E160,[1]DB!$D:$D,0))
        )
      ),
      IF(
        COUNTIFS($C$2:C160,C160,$E$2:E160,E160,$D$2:D160,D160)=1,
        INDEX([1]DB!$A:$A,MATCH($E160,[1]DB!$D:$D,0)),
        IF(
          COUNTIFS($C$2:C160,C160,$E$2:E160,E160,$D$2:D160,D160)=2,
          INDEX([1]DB!$B:$B,MATCH($E160,[1]DB!$D:$D,0)),
          INDEX([1]DB!$C:$C,MATCH($E160,[1]DB!$D:$D,0))
        )
      )
    )
  ),
  0
)</f>
        <v>0</v>
      </c>
      <c r="L160" s="9">
        <f>IFERROR(
  IF(
    D160&lt;&gt;"Geoffroy",
    0,
    IF(
      C160="",
      IF(
        COUNTIFS($B$2:B160,B160,$E$2:E160,E160,$D$2:D160,D160)=1,
        INDEX([1]DB!$A:$A,MATCH($E160,[1]DB!$D:$D,0)),
        IF(
          COUNTIFS($B$2:B160,B160,$E$2:E160,E160,$D$2:D160,D160)=2,
          INDEX([1]DB!$B:$B,MATCH($E160,[1]DB!$D:$D,0)),
          INDEX([1]DB!$C:$C,MATCH($E160,[1]DB!$D:$D,0))
        )
      ),
      IF(
        COUNTIFS($C$2:C160,C160,$E$2:E160,E160,$D$2:D160,D160)=1,
        INDEX([1]DB!$A:$A,MATCH($E160,[1]DB!$D:$D,0)),
        IF(
          COUNTIFS($C$2:C160,C160,$E$2:E160,E160,$D$2:D160,D160)=2,
          INDEX([1]DB!$B:$B,MATCH($E160,[1]DB!$D:$D,0)),
          INDEX([1]DB!$C:$C,MATCH($E160,[1]DB!$D:$D,0))
        )
      )
    )
  ),
  0
)</f>
        <v>0</v>
      </c>
      <c r="M160" s="9">
        <f>IFERROR(
  IF(
    D160&lt;&gt;"Tiphaine",
    0,
    IF(
      C160="",
      IF(
        COUNTIFS($B$2:B160,B160,$E$2:E160,E160,$D$2:D160,D160)=1,
        INDEX([1]DB!$A:$A,MATCH($E160,[1]DB!$D:$D,0)),
        IF(
          COUNTIFS($B$2:B160,B160,$E$2:E160,E160,$D$2:D160,D160)=2,
          INDEX([1]DB!$B:$B,MATCH($E160,[1]DB!$D:$D,0)),
          INDEX([1]DB!$C:$C,MATCH($E160,[1]DB!$D:$D,0))
        )
      ),
      IF(
        COUNTIFS($C$2:C160,C160,$E$2:E160,E160,$D$2:D160,D160)=1,
        INDEX([1]DB!$A:$A,MATCH($E160,[1]DB!$D:$D,0)),
        IF(
          COUNTIFS($C$2:C160,C160,$E$2:E160,E160,$D$2:D160,D160)=2,
          INDEX([1]DB!$B:$B,MATCH($E160,[1]DB!$D:$D,0)),
          INDEX([1]DB!$C:$C,MATCH($E160,[1]DB!$D:$D,0))
        )
      )
    )
  ),
  0
)</f>
        <v>0</v>
      </c>
      <c r="N160" s="9">
        <f>IFERROR(
  IF(
    D160&lt;&gt;"Catherine",
    0,
    IF(
      C160="",
      IF(
        COUNTIFS($B$2:B160,B160,$E$2:E160,E160,$D$2:D160,D160)=1,
        INDEX([1]DB!$A:$A,MATCH($E160,[1]DB!$D:$D,0)),
        IF(
          COUNTIFS($B$2:B160,B160,$E$2:E160,E160,$D$2:D160,D160)=2,
          INDEX([1]DB!$B:$B,MATCH($E160,[1]DB!$D:$D,0)),
          INDEX([1]DB!$C:$C,MATCH($E160,[1]DB!$D:$D,0))
        )
      ),
      IF(
        COUNTIFS($C$2:C160,C160,$E$2:E160,E160,$D$2:D160,D160)=1,
        INDEX([1]DB!$A:$A,MATCH($E160,[1]DB!$D:$D,0)),
        IF(
          COUNTIFS($C$2:C160,C160,$E$2:E160,E160,$D$2:D160,D160)=2,
          INDEX([1]DB!$B:$B,MATCH($E160,[1]DB!$D:$D,0)),
          INDEX([1]DB!$C:$C,MATCH($E160,[1]DB!$D:$D,0))
        )
      )
    )
  ),
  0
)</f>
        <v>0</v>
      </c>
      <c r="O160" s="5" t="str">
        <f>IF(DAY(A160)&lt;=15,UPPER(LEFT(TEXT(A160,"mmmm"),1))&amp;RIGHT(TEXT(A160,"mmmm"),LEN(TEXT(A160,"mmmm"))-1),UPPER(LEFT(TEXT(DATE(YEAR(A160),MONTH(A160)+1,1),"mmmm"),1))&amp;RIGHT(TEXT(DATE(YEAR(A160),MONTH(A160)+1,1),"mmmm"),LEN(TEXT(DATE(YEAR(A160),MONTH(A160)+1,1),"mmmm"))-1))</f>
        <v>Janvier</v>
      </c>
      <c r="P160" s="6" t="str">
        <f ca="1">IF(AND(A160&lt;=TODAY(),F160&lt;&gt;""),"OK","NON")</f>
        <v>NON</v>
      </c>
    </row>
    <row r="161" spans="1:16">
      <c r="A161" s="4"/>
      <c r="B161" s="5"/>
      <c r="C161" s="5"/>
      <c r="D161" s="6"/>
      <c r="E161" s="6"/>
      <c r="F161" s="7"/>
      <c r="G161" s="8" cm="1">
        <f t="array" ref="G161">IFERROR(
  IF(D161&lt;&gt;"Cédric",
     0,
     SUMPRODUCT(
       (TRIM(SUBSTITUTE(UPPER($B$2:$B161),CHAR(160),""))=TRIM(SUBSTITUTE(UPPER(B161),CHAR(160),"")))*
       (TRIM(SUBSTITUTE(UPPER($C$2:$C161),CHAR(160),""))=TRIM(SUBSTITUTE(UPPER(C161),CHAR(160),"")))*
       (TRIM(SUBSTITUTE(UPPER($D$2:$D161),CHAR(160),""))=TRIM(SUBSTITUTE(UPPER(D161),CHAR(160),"")))*
       (TRIM(SUBSTITUTE(UPPER($E$2:$E161),CHAR(160),""))=TRIM(SUBSTITUTE(UPPER(E161),CHAR(160),"")))
     )
  ),
  0
)</f>
        <v>0</v>
      </c>
      <c r="H161" s="8" cm="1">
        <f t="array" ref="H161">IFERROR(
  IF(D161&lt;&gt;"Geoffroy",
     0,
     SUMPRODUCT(
       (TRIM(SUBSTITUTE(UPPER($B$2:$B161),CHAR(160),""))=TRIM(SUBSTITUTE(UPPER(B161),CHAR(160),"")))*
       (TRIM(SUBSTITUTE(UPPER($C$2:$C161),CHAR(160),""))=TRIM(SUBSTITUTE(UPPER(C161),CHAR(160),"")))*
       (TRIM(SUBSTITUTE(UPPER($D$2:$D161),CHAR(160),""))=TRIM(SUBSTITUTE(UPPER(D161),CHAR(160),"")))*
       (TRIM(SUBSTITUTE(UPPER($E$2:$E161),CHAR(160),""))=TRIM(SUBSTITUTE(UPPER(E161),CHAR(160),"")))
     )
  ),
  0
)</f>
        <v>0</v>
      </c>
      <c r="I161" s="8" cm="1">
        <f t="array" ref="I161">IFERROR(
  IF(D161&lt;&gt;"Tiphaine",
     0,
     SUMPRODUCT(
       (TRIM(SUBSTITUTE(UPPER($B$2:$B161),CHAR(160),""))=TRIM(SUBSTITUTE(UPPER(B161),CHAR(160),"")))*
       (TRIM(SUBSTITUTE(UPPER($C$2:$C161),CHAR(160),""))=TRIM(SUBSTITUTE(UPPER(C161),CHAR(160),"")))*
       (TRIM(SUBSTITUTE(UPPER($D$2:$D161),CHAR(160),""))=TRIM(SUBSTITUTE(UPPER(D161),CHAR(160),"")))*
       (TRIM(SUBSTITUTE(UPPER($E$2:$E161),CHAR(160),""))=TRIM(SUBSTITUTE(UPPER(E161),CHAR(160),"")))
     )
  ),
  0
)</f>
        <v>0</v>
      </c>
      <c r="J161" s="8" cm="1">
        <f t="array" ref="J161">IFERROR(
  IF(D161&lt;&gt;"Catherine",
     0,
     SUMPRODUCT(
       (TRIM(SUBSTITUTE(UPPER($B$2:$B161),CHAR(160),""))=TRIM(SUBSTITUTE(UPPER(B161),CHAR(160),"")))*
       (TRIM(SUBSTITUTE(UPPER($C$2:$C161),CHAR(160),""))=TRIM(SUBSTITUTE(UPPER(C161),CHAR(160),"")))*
       (TRIM(SUBSTITUTE(UPPER($D$2:$D161),CHAR(160),""))=TRIM(SUBSTITUTE(UPPER(D161),CHAR(160),"")))*
       (TRIM(SUBSTITUTE(UPPER($E$2:$E161),CHAR(160),""))=TRIM(SUBSTITUTE(UPPER(E161),CHAR(160),"")))
     )
  ),
  0
)</f>
        <v>0</v>
      </c>
      <c r="K161" s="9">
        <f>IFERROR(
  IF(
    D161&lt;&gt;"Cédric",
    0,
    IF(
      C161="",
      IF(
        COUNTIFS($B$2:B161,B161,$E$2:E161,E161,$D$2:D161,D161)=1,
        INDEX([1]DB!$A:$A,MATCH($E161,[1]DB!$D:$D,0)),
        IF(
          COUNTIFS($B$2:B161,B161,$E$2:E161,E161,$D$2:D161,D161)=2,
          INDEX([1]DB!$B:$B,MATCH($E161,[1]DB!$D:$D,0)),
          INDEX([1]DB!$C:$C,MATCH($E161,[1]DB!$D:$D,0))
        )
      ),
      IF(
        COUNTIFS($C$2:C161,C161,$E$2:E161,E161,$D$2:D161,D161)=1,
        INDEX([1]DB!$A:$A,MATCH($E161,[1]DB!$D:$D,0)),
        IF(
          COUNTIFS($C$2:C161,C161,$E$2:E161,E161,$D$2:D161,D161)=2,
          INDEX([1]DB!$B:$B,MATCH($E161,[1]DB!$D:$D,0)),
          INDEX([1]DB!$C:$C,MATCH($E161,[1]DB!$D:$D,0))
        )
      )
    )
  ),
  0
)</f>
        <v>0</v>
      </c>
      <c r="L161" s="9">
        <f>IFERROR(
  IF(
    D161&lt;&gt;"Geoffroy",
    0,
    IF(
      C161="",
      IF(
        COUNTIFS($B$2:B161,B161,$E$2:E161,E161,$D$2:D161,D161)=1,
        INDEX([1]DB!$A:$A,MATCH($E161,[1]DB!$D:$D,0)),
        IF(
          COUNTIFS($B$2:B161,B161,$E$2:E161,E161,$D$2:D161,D161)=2,
          INDEX([1]DB!$B:$B,MATCH($E161,[1]DB!$D:$D,0)),
          INDEX([1]DB!$C:$C,MATCH($E161,[1]DB!$D:$D,0))
        )
      ),
      IF(
        COUNTIFS($C$2:C161,C161,$E$2:E161,E161,$D$2:D161,D161)=1,
        INDEX([1]DB!$A:$A,MATCH($E161,[1]DB!$D:$D,0)),
        IF(
          COUNTIFS($C$2:C161,C161,$E$2:E161,E161,$D$2:D161,D161)=2,
          INDEX([1]DB!$B:$B,MATCH($E161,[1]DB!$D:$D,0)),
          INDEX([1]DB!$C:$C,MATCH($E161,[1]DB!$D:$D,0))
        )
      )
    )
  ),
  0
)</f>
        <v>0</v>
      </c>
      <c r="M161" s="9">
        <f>IFERROR(
  IF(
    D161&lt;&gt;"Tiphaine",
    0,
    IF(
      C161="",
      IF(
        COUNTIFS($B$2:B161,B161,$E$2:E161,E161,$D$2:D161,D161)=1,
        INDEX([1]DB!$A:$A,MATCH($E161,[1]DB!$D:$D,0)),
        IF(
          COUNTIFS($B$2:B161,B161,$E$2:E161,E161,$D$2:D161,D161)=2,
          INDEX([1]DB!$B:$B,MATCH($E161,[1]DB!$D:$D,0)),
          INDEX([1]DB!$C:$C,MATCH($E161,[1]DB!$D:$D,0))
        )
      ),
      IF(
        COUNTIFS($C$2:C161,C161,$E$2:E161,E161,$D$2:D161,D161)=1,
        INDEX([1]DB!$A:$A,MATCH($E161,[1]DB!$D:$D,0)),
        IF(
          COUNTIFS($C$2:C161,C161,$E$2:E161,E161,$D$2:D161,D161)=2,
          INDEX([1]DB!$B:$B,MATCH($E161,[1]DB!$D:$D,0)),
          INDEX([1]DB!$C:$C,MATCH($E161,[1]DB!$D:$D,0))
        )
      )
    )
  ),
  0
)</f>
        <v>0</v>
      </c>
      <c r="N161" s="9">
        <f>IFERROR(
  IF(
    D161&lt;&gt;"Catherine",
    0,
    IF(
      C161="",
      IF(
        COUNTIFS($B$2:B161,B161,$E$2:E161,E161,$D$2:D161,D161)=1,
        INDEX([1]DB!$A:$A,MATCH($E161,[1]DB!$D:$D,0)),
        IF(
          COUNTIFS($B$2:B161,B161,$E$2:E161,E161,$D$2:D161,D161)=2,
          INDEX([1]DB!$B:$B,MATCH($E161,[1]DB!$D:$D,0)),
          INDEX([1]DB!$C:$C,MATCH($E161,[1]DB!$D:$D,0))
        )
      ),
      IF(
        COUNTIFS($C$2:C161,C161,$E$2:E161,E161,$D$2:D161,D161)=1,
        INDEX([1]DB!$A:$A,MATCH($E161,[1]DB!$D:$D,0)),
        IF(
          COUNTIFS($C$2:C161,C161,$E$2:E161,E161,$D$2:D161,D161)=2,
          INDEX([1]DB!$B:$B,MATCH($E161,[1]DB!$D:$D,0)),
          INDEX([1]DB!$C:$C,MATCH($E161,[1]DB!$D:$D,0))
        )
      )
    )
  ),
  0
)</f>
        <v>0</v>
      </c>
      <c r="O161" s="5" t="str">
        <f>IF(DAY(A161)&lt;=15,UPPER(LEFT(TEXT(A161,"mmmm"),1))&amp;RIGHT(TEXT(A161,"mmmm"),LEN(TEXT(A161,"mmmm"))-1),UPPER(LEFT(TEXT(DATE(YEAR(A161),MONTH(A161)+1,1),"mmmm"),1))&amp;RIGHT(TEXT(DATE(YEAR(A161),MONTH(A161)+1,1),"mmmm"),LEN(TEXT(DATE(YEAR(A161),MONTH(A161)+1,1),"mmmm"))-1))</f>
        <v>Janvier</v>
      </c>
      <c r="P161" s="6" t="str">
        <f ca="1">IF(AND(A161&lt;=TODAY(),F161&lt;&gt;""),"OK","NON")</f>
        <v>NON</v>
      </c>
    </row>
    <row r="162" spans="1:16">
      <c r="A162" s="4"/>
      <c r="B162" s="5"/>
      <c r="C162" s="5"/>
      <c r="D162" s="6"/>
      <c r="E162" s="6"/>
      <c r="F162" s="7"/>
      <c r="G162" s="8" cm="1">
        <f t="array" ref="G162">IFERROR(
  IF(D162&lt;&gt;"Cédric",
     0,
     SUMPRODUCT(
       (TRIM(SUBSTITUTE(UPPER($B$2:$B162),CHAR(160),""))=TRIM(SUBSTITUTE(UPPER(B162),CHAR(160),"")))*
       (TRIM(SUBSTITUTE(UPPER($C$2:$C162),CHAR(160),""))=TRIM(SUBSTITUTE(UPPER(C162),CHAR(160),"")))*
       (TRIM(SUBSTITUTE(UPPER($D$2:$D162),CHAR(160),""))=TRIM(SUBSTITUTE(UPPER(D162),CHAR(160),"")))*
       (TRIM(SUBSTITUTE(UPPER($E$2:$E162),CHAR(160),""))=TRIM(SUBSTITUTE(UPPER(E162),CHAR(160),"")))
     )
  ),
  0
)</f>
        <v>0</v>
      </c>
      <c r="H162" s="8" cm="1">
        <f t="array" ref="H162">IFERROR(
  IF(D162&lt;&gt;"Geoffroy",
     0,
     SUMPRODUCT(
       (TRIM(SUBSTITUTE(UPPER($B$2:$B162),CHAR(160),""))=TRIM(SUBSTITUTE(UPPER(B162),CHAR(160),"")))*
       (TRIM(SUBSTITUTE(UPPER($C$2:$C162),CHAR(160),""))=TRIM(SUBSTITUTE(UPPER(C162),CHAR(160),"")))*
       (TRIM(SUBSTITUTE(UPPER($D$2:$D162),CHAR(160),""))=TRIM(SUBSTITUTE(UPPER(D162),CHAR(160),"")))*
       (TRIM(SUBSTITUTE(UPPER($E$2:$E162),CHAR(160),""))=TRIM(SUBSTITUTE(UPPER(E162),CHAR(160),"")))
     )
  ),
  0
)</f>
        <v>0</v>
      </c>
      <c r="I162" s="8" cm="1">
        <f t="array" ref="I162">IFERROR(
  IF(D162&lt;&gt;"Tiphaine",
     0,
     SUMPRODUCT(
       (TRIM(SUBSTITUTE(UPPER($B$2:$B162),CHAR(160),""))=TRIM(SUBSTITUTE(UPPER(B162),CHAR(160),"")))*
       (TRIM(SUBSTITUTE(UPPER($C$2:$C162),CHAR(160),""))=TRIM(SUBSTITUTE(UPPER(C162),CHAR(160),"")))*
       (TRIM(SUBSTITUTE(UPPER($D$2:$D162),CHAR(160),""))=TRIM(SUBSTITUTE(UPPER(D162),CHAR(160),"")))*
       (TRIM(SUBSTITUTE(UPPER($E$2:$E162),CHAR(160),""))=TRIM(SUBSTITUTE(UPPER(E162),CHAR(160),"")))
     )
  ),
  0
)</f>
        <v>0</v>
      </c>
      <c r="J162" s="8" cm="1">
        <f t="array" ref="J162">IFERROR(
  IF(D162&lt;&gt;"Catherine",
     0,
     SUMPRODUCT(
       (TRIM(SUBSTITUTE(UPPER($B$2:$B162),CHAR(160),""))=TRIM(SUBSTITUTE(UPPER(B162),CHAR(160),"")))*
       (TRIM(SUBSTITUTE(UPPER($C$2:$C162),CHAR(160),""))=TRIM(SUBSTITUTE(UPPER(C162),CHAR(160),"")))*
       (TRIM(SUBSTITUTE(UPPER($D$2:$D162),CHAR(160),""))=TRIM(SUBSTITUTE(UPPER(D162),CHAR(160),"")))*
       (TRIM(SUBSTITUTE(UPPER($E$2:$E162),CHAR(160),""))=TRIM(SUBSTITUTE(UPPER(E162),CHAR(160),"")))
     )
  ),
  0
)</f>
        <v>0</v>
      </c>
      <c r="K162" s="9">
        <f>IFERROR(
  IF(
    D162&lt;&gt;"Cédric",
    0,
    IF(
      C162="",
      IF(
        COUNTIFS($B$2:B162,B162,$E$2:E162,E162,$D$2:D162,D162)=1,
        INDEX([1]DB!$A:$A,MATCH($E162,[1]DB!$D:$D,0)),
        IF(
          COUNTIFS($B$2:B162,B162,$E$2:E162,E162,$D$2:D162,D162)=2,
          INDEX([1]DB!$B:$B,MATCH($E162,[1]DB!$D:$D,0)),
          INDEX([1]DB!$C:$C,MATCH($E162,[1]DB!$D:$D,0))
        )
      ),
      IF(
        COUNTIFS($C$2:C162,C162,$E$2:E162,E162,$D$2:D162,D162)=1,
        INDEX([1]DB!$A:$A,MATCH($E162,[1]DB!$D:$D,0)),
        IF(
          COUNTIFS($C$2:C162,C162,$E$2:E162,E162,$D$2:D162,D162)=2,
          INDEX([1]DB!$B:$B,MATCH($E162,[1]DB!$D:$D,0)),
          INDEX([1]DB!$C:$C,MATCH($E162,[1]DB!$D:$D,0))
        )
      )
    )
  ),
  0
)</f>
        <v>0</v>
      </c>
      <c r="L162" s="9">
        <f>IFERROR(
  IF(
    D162&lt;&gt;"Geoffroy",
    0,
    IF(
      C162="",
      IF(
        COUNTIFS($B$2:B162,B162,$E$2:E162,E162,$D$2:D162,D162)=1,
        INDEX([1]DB!$A:$A,MATCH($E162,[1]DB!$D:$D,0)),
        IF(
          COUNTIFS($B$2:B162,B162,$E$2:E162,E162,$D$2:D162,D162)=2,
          INDEX([1]DB!$B:$B,MATCH($E162,[1]DB!$D:$D,0)),
          INDEX([1]DB!$C:$C,MATCH($E162,[1]DB!$D:$D,0))
        )
      ),
      IF(
        COUNTIFS($C$2:C162,C162,$E$2:E162,E162,$D$2:D162,D162)=1,
        INDEX([1]DB!$A:$A,MATCH($E162,[1]DB!$D:$D,0)),
        IF(
          COUNTIFS($C$2:C162,C162,$E$2:E162,E162,$D$2:D162,D162)=2,
          INDEX([1]DB!$B:$B,MATCH($E162,[1]DB!$D:$D,0)),
          INDEX([1]DB!$C:$C,MATCH($E162,[1]DB!$D:$D,0))
        )
      )
    )
  ),
  0
)</f>
        <v>0</v>
      </c>
      <c r="M162" s="9">
        <f>IFERROR(
  IF(
    D162&lt;&gt;"Tiphaine",
    0,
    IF(
      C162="",
      IF(
        COUNTIFS($B$2:B162,B162,$E$2:E162,E162,$D$2:D162,D162)=1,
        INDEX([1]DB!$A:$A,MATCH($E162,[1]DB!$D:$D,0)),
        IF(
          COUNTIFS($B$2:B162,B162,$E$2:E162,E162,$D$2:D162,D162)=2,
          INDEX([1]DB!$B:$B,MATCH($E162,[1]DB!$D:$D,0)),
          INDEX([1]DB!$C:$C,MATCH($E162,[1]DB!$D:$D,0))
        )
      ),
      IF(
        COUNTIFS($C$2:C162,C162,$E$2:E162,E162,$D$2:D162,D162)=1,
        INDEX([1]DB!$A:$A,MATCH($E162,[1]DB!$D:$D,0)),
        IF(
          COUNTIFS($C$2:C162,C162,$E$2:E162,E162,$D$2:D162,D162)=2,
          INDEX([1]DB!$B:$B,MATCH($E162,[1]DB!$D:$D,0)),
          INDEX([1]DB!$C:$C,MATCH($E162,[1]DB!$D:$D,0))
        )
      )
    )
  ),
  0
)</f>
        <v>0</v>
      </c>
      <c r="N162" s="9">
        <f>IFERROR(
  IF(
    D162&lt;&gt;"Catherine",
    0,
    IF(
      C162="",
      IF(
        COUNTIFS($B$2:B162,B162,$E$2:E162,E162,$D$2:D162,D162)=1,
        INDEX([1]DB!$A:$A,MATCH($E162,[1]DB!$D:$D,0)),
        IF(
          COUNTIFS($B$2:B162,B162,$E$2:E162,E162,$D$2:D162,D162)=2,
          INDEX([1]DB!$B:$B,MATCH($E162,[1]DB!$D:$D,0)),
          INDEX([1]DB!$C:$C,MATCH($E162,[1]DB!$D:$D,0))
        )
      ),
      IF(
        COUNTIFS($C$2:C162,C162,$E$2:E162,E162,$D$2:D162,D162)=1,
        INDEX([1]DB!$A:$A,MATCH($E162,[1]DB!$D:$D,0)),
        IF(
          COUNTIFS($C$2:C162,C162,$E$2:E162,E162,$D$2:D162,D162)=2,
          INDEX([1]DB!$B:$B,MATCH($E162,[1]DB!$D:$D,0)),
          INDEX([1]DB!$C:$C,MATCH($E162,[1]DB!$D:$D,0))
        )
      )
    )
  ),
  0
)</f>
        <v>0</v>
      </c>
      <c r="O162" s="5" t="str">
        <f>IF(DAY(A162)&lt;=15,UPPER(LEFT(TEXT(A162,"mmmm"),1))&amp;RIGHT(TEXT(A162,"mmmm"),LEN(TEXT(A162,"mmmm"))-1),UPPER(LEFT(TEXT(DATE(YEAR(A162),MONTH(A162)+1,1),"mmmm"),1))&amp;RIGHT(TEXT(DATE(YEAR(A162),MONTH(A162)+1,1),"mmmm"),LEN(TEXT(DATE(YEAR(A162),MONTH(A162)+1,1),"mmmm"))-1))</f>
        <v>Janvier</v>
      </c>
      <c r="P162" s="6" t="str">
        <f ca="1">IF(AND(A162&lt;=TODAY(),F162&lt;&gt;""),"OK","NON")</f>
        <v>NON</v>
      </c>
    </row>
    <row r="163" spans="1:16">
      <c r="A163" s="4"/>
      <c r="B163" s="5"/>
      <c r="C163" s="5"/>
      <c r="D163" s="6"/>
      <c r="E163" s="6"/>
      <c r="F163" s="7"/>
      <c r="G163" s="8" cm="1">
        <f t="array" ref="G163">IFERROR(
  IF(D163&lt;&gt;"Cédric",
     0,
     SUMPRODUCT(
       (TRIM(SUBSTITUTE(UPPER($B$2:$B163),CHAR(160),""))=TRIM(SUBSTITUTE(UPPER(B163),CHAR(160),"")))*
       (TRIM(SUBSTITUTE(UPPER($C$2:$C163),CHAR(160),""))=TRIM(SUBSTITUTE(UPPER(C163),CHAR(160),"")))*
       (TRIM(SUBSTITUTE(UPPER($D$2:$D163),CHAR(160),""))=TRIM(SUBSTITUTE(UPPER(D163),CHAR(160),"")))*
       (TRIM(SUBSTITUTE(UPPER($E$2:$E163),CHAR(160),""))=TRIM(SUBSTITUTE(UPPER(E163),CHAR(160),"")))
     )
  ),
  0
)</f>
        <v>0</v>
      </c>
      <c r="H163" s="8" cm="1">
        <f t="array" ref="H163">IFERROR(
  IF(D163&lt;&gt;"Geoffroy",
     0,
     SUMPRODUCT(
       (TRIM(SUBSTITUTE(UPPER($B$2:$B163),CHAR(160),""))=TRIM(SUBSTITUTE(UPPER(B163),CHAR(160),"")))*
       (TRIM(SUBSTITUTE(UPPER($C$2:$C163),CHAR(160),""))=TRIM(SUBSTITUTE(UPPER(C163),CHAR(160),"")))*
       (TRIM(SUBSTITUTE(UPPER($D$2:$D163),CHAR(160),""))=TRIM(SUBSTITUTE(UPPER(D163),CHAR(160),"")))*
       (TRIM(SUBSTITUTE(UPPER($E$2:$E163),CHAR(160),""))=TRIM(SUBSTITUTE(UPPER(E163),CHAR(160),"")))
     )
  ),
  0
)</f>
        <v>0</v>
      </c>
      <c r="I163" s="8" cm="1">
        <f t="array" ref="I163">IFERROR(
  IF(D163&lt;&gt;"Tiphaine",
     0,
     SUMPRODUCT(
       (TRIM(SUBSTITUTE(UPPER($B$2:$B163),CHAR(160),""))=TRIM(SUBSTITUTE(UPPER(B163),CHAR(160),"")))*
       (TRIM(SUBSTITUTE(UPPER($C$2:$C163),CHAR(160),""))=TRIM(SUBSTITUTE(UPPER(C163),CHAR(160),"")))*
       (TRIM(SUBSTITUTE(UPPER($D$2:$D163),CHAR(160),""))=TRIM(SUBSTITUTE(UPPER(D163),CHAR(160),"")))*
       (TRIM(SUBSTITUTE(UPPER($E$2:$E163),CHAR(160),""))=TRIM(SUBSTITUTE(UPPER(E163),CHAR(160),"")))
     )
  ),
  0
)</f>
        <v>0</v>
      </c>
      <c r="J163" s="8" cm="1">
        <f t="array" ref="J163">IFERROR(
  IF(D163&lt;&gt;"Catherine",
     0,
     SUMPRODUCT(
       (TRIM(SUBSTITUTE(UPPER($B$2:$B163),CHAR(160),""))=TRIM(SUBSTITUTE(UPPER(B163),CHAR(160),"")))*
       (TRIM(SUBSTITUTE(UPPER($C$2:$C163),CHAR(160),""))=TRIM(SUBSTITUTE(UPPER(C163),CHAR(160),"")))*
       (TRIM(SUBSTITUTE(UPPER($D$2:$D163),CHAR(160),""))=TRIM(SUBSTITUTE(UPPER(D163),CHAR(160),"")))*
       (TRIM(SUBSTITUTE(UPPER($E$2:$E163),CHAR(160),""))=TRIM(SUBSTITUTE(UPPER(E163),CHAR(160),"")))
     )
  ),
  0
)</f>
        <v>0</v>
      </c>
      <c r="K163" s="9">
        <f>IFERROR(
  IF(
    D163&lt;&gt;"Cédric",
    0,
    IF(
      C163="",
      IF(
        COUNTIFS($B$2:B163,B163,$E$2:E163,E163,$D$2:D163,D163)=1,
        INDEX([1]DB!$A:$A,MATCH($E163,[1]DB!$D:$D,0)),
        IF(
          COUNTIFS($B$2:B163,B163,$E$2:E163,E163,$D$2:D163,D163)=2,
          INDEX([1]DB!$B:$B,MATCH($E163,[1]DB!$D:$D,0)),
          INDEX([1]DB!$C:$C,MATCH($E163,[1]DB!$D:$D,0))
        )
      ),
      IF(
        COUNTIFS($C$2:C163,C163,$E$2:E163,E163,$D$2:D163,D163)=1,
        INDEX([1]DB!$A:$A,MATCH($E163,[1]DB!$D:$D,0)),
        IF(
          COUNTIFS($C$2:C163,C163,$E$2:E163,E163,$D$2:D163,D163)=2,
          INDEX([1]DB!$B:$B,MATCH($E163,[1]DB!$D:$D,0)),
          INDEX([1]DB!$C:$C,MATCH($E163,[1]DB!$D:$D,0))
        )
      )
    )
  ),
  0
)</f>
        <v>0</v>
      </c>
      <c r="L163" s="9">
        <f>IFERROR(
  IF(
    D163&lt;&gt;"Geoffroy",
    0,
    IF(
      C163="",
      IF(
        COUNTIFS($B$2:B163,B163,$E$2:E163,E163,$D$2:D163,D163)=1,
        INDEX([1]DB!$A:$A,MATCH($E163,[1]DB!$D:$D,0)),
        IF(
          COUNTIFS($B$2:B163,B163,$E$2:E163,E163,$D$2:D163,D163)=2,
          INDEX([1]DB!$B:$B,MATCH($E163,[1]DB!$D:$D,0)),
          INDEX([1]DB!$C:$C,MATCH($E163,[1]DB!$D:$D,0))
        )
      ),
      IF(
        COUNTIFS($C$2:C163,C163,$E$2:E163,E163,$D$2:D163,D163)=1,
        INDEX([1]DB!$A:$A,MATCH($E163,[1]DB!$D:$D,0)),
        IF(
          COUNTIFS($C$2:C163,C163,$E$2:E163,E163,$D$2:D163,D163)=2,
          INDEX([1]DB!$B:$B,MATCH($E163,[1]DB!$D:$D,0)),
          INDEX([1]DB!$C:$C,MATCH($E163,[1]DB!$D:$D,0))
        )
      )
    )
  ),
  0
)</f>
        <v>0</v>
      </c>
      <c r="M163" s="9">
        <f>IFERROR(
  IF(
    D163&lt;&gt;"Tiphaine",
    0,
    IF(
      C163="",
      IF(
        COUNTIFS($B$2:B163,B163,$E$2:E163,E163,$D$2:D163,D163)=1,
        INDEX([1]DB!$A:$A,MATCH($E163,[1]DB!$D:$D,0)),
        IF(
          COUNTIFS($B$2:B163,B163,$E$2:E163,E163,$D$2:D163,D163)=2,
          INDEX([1]DB!$B:$B,MATCH($E163,[1]DB!$D:$D,0)),
          INDEX([1]DB!$C:$C,MATCH($E163,[1]DB!$D:$D,0))
        )
      ),
      IF(
        COUNTIFS($C$2:C163,C163,$E$2:E163,E163,$D$2:D163,D163)=1,
        INDEX([1]DB!$A:$A,MATCH($E163,[1]DB!$D:$D,0)),
        IF(
          COUNTIFS($C$2:C163,C163,$E$2:E163,E163,$D$2:D163,D163)=2,
          INDEX([1]DB!$B:$B,MATCH($E163,[1]DB!$D:$D,0)),
          INDEX([1]DB!$C:$C,MATCH($E163,[1]DB!$D:$D,0))
        )
      )
    )
  ),
  0
)</f>
        <v>0</v>
      </c>
      <c r="N163" s="9">
        <f>IFERROR(
  IF(
    D163&lt;&gt;"Catherine",
    0,
    IF(
      C163="",
      IF(
        COUNTIFS($B$2:B163,B163,$E$2:E163,E163,$D$2:D163,D163)=1,
        INDEX([1]DB!$A:$A,MATCH($E163,[1]DB!$D:$D,0)),
        IF(
          COUNTIFS($B$2:B163,B163,$E$2:E163,E163,$D$2:D163,D163)=2,
          INDEX([1]DB!$B:$B,MATCH($E163,[1]DB!$D:$D,0)),
          INDEX([1]DB!$C:$C,MATCH($E163,[1]DB!$D:$D,0))
        )
      ),
      IF(
        COUNTIFS($C$2:C163,C163,$E$2:E163,E163,$D$2:D163,D163)=1,
        INDEX([1]DB!$A:$A,MATCH($E163,[1]DB!$D:$D,0)),
        IF(
          COUNTIFS($C$2:C163,C163,$E$2:E163,E163,$D$2:D163,D163)=2,
          INDEX([1]DB!$B:$B,MATCH($E163,[1]DB!$D:$D,0)),
          INDEX([1]DB!$C:$C,MATCH($E163,[1]DB!$D:$D,0))
        )
      )
    )
  ),
  0
)</f>
        <v>0</v>
      </c>
      <c r="O163" s="5" t="str">
        <f>IF(DAY(A163)&lt;=15,UPPER(LEFT(TEXT(A163,"mmmm"),1))&amp;RIGHT(TEXT(A163,"mmmm"),LEN(TEXT(A163,"mmmm"))-1),UPPER(LEFT(TEXT(DATE(YEAR(A163),MONTH(A163)+1,1),"mmmm"),1))&amp;RIGHT(TEXT(DATE(YEAR(A163),MONTH(A163)+1,1),"mmmm"),LEN(TEXT(DATE(YEAR(A163),MONTH(A163)+1,1),"mmmm"))-1))</f>
        <v>Janvier</v>
      </c>
      <c r="P163" s="6" t="str">
        <f ca="1">IF(AND(A163&lt;=TODAY(),F163&lt;&gt;""),"OK","NON")</f>
        <v>NON</v>
      </c>
    </row>
    <row r="164" spans="1:16">
      <c r="A164" s="4"/>
      <c r="B164" s="5"/>
      <c r="C164" s="5"/>
      <c r="D164" s="6"/>
      <c r="E164" s="6"/>
      <c r="F164" s="7"/>
      <c r="G164" s="8" cm="1">
        <f t="array" ref="G164">IFERROR(
  IF(D164&lt;&gt;"Cédric",
     0,
     SUMPRODUCT(
       (TRIM(SUBSTITUTE(UPPER($B$2:$B164),CHAR(160),""))=TRIM(SUBSTITUTE(UPPER(B164),CHAR(160),"")))*
       (TRIM(SUBSTITUTE(UPPER($C$2:$C164),CHAR(160),""))=TRIM(SUBSTITUTE(UPPER(C164),CHAR(160),"")))*
       (TRIM(SUBSTITUTE(UPPER($D$2:$D164),CHAR(160),""))=TRIM(SUBSTITUTE(UPPER(D164),CHAR(160),"")))*
       (TRIM(SUBSTITUTE(UPPER($E$2:$E164),CHAR(160),""))=TRIM(SUBSTITUTE(UPPER(E164),CHAR(160),"")))
     )
  ),
  0
)</f>
        <v>0</v>
      </c>
      <c r="H164" s="8" cm="1">
        <f t="array" ref="H164">IFERROR(
  IF(D164&lt;&gt;"Geoffroy",
     0,
     SUMPRODUCT(
       (TRIM(SUBSTITUTE(UPPER($B$2:$B164),CHAR(160),""))=TRIM(SUBSTITUTE(UPPER(B164),CHAR(160),"")))*
       (TRIM(SUBSTITUTE(UPPER($C$2:$C164),CHAR(160),""))=TRIM(SUBSTITUTE(UPPER(C164),CHAR(160),"")))*
       (TRIM(SUBSTITUTE(UPPER($D$2:$D164),CHAR(160),""))=TRIM(SUBSTITUTE(UPPER(D164),CHAR(160),"")))*
       (TRIM(SUBSTITUTE(UPPER($E$2:$E164),CHAR(160),""))=TRIM(SUBSTITUTE(UPPER(E164),CHAR(160),"")))
     )
  ),
  0
)</f>
        <v>0</v>
      </c>
      <c r="I164" s="8" cm="1">
        <f t="array" ref="I164">IFERROR(
  IF(D164&lt;&gt;"Tiphaine",
     0,
     SUMPRODUCT(
       (TRIM(SUBSTITUTE(UPPER($B$2:$B164),CHAR(160),""))=TRIM(SUBSTITUTE(UPPER(B164),CHAR(160),"")))*
       (TRIM(SUBSTITUTE(UPPER($C$2:$C164),CHAR(160),""))=TRIM(SUBSTITUTE(UPPER(C164),CHAR(160),"")))*
       (TRIM(SUBSTITUTE(UPPER($D$2:$D164),CHAR(160),""))=TRIM(SUBSTITUTE(UPPER(D164),CHAR(160),"")))*
       (TRIM(SUBSTITUTE(UPPER($E$2:$E164),CHAR(160),""))=TRIM(SUBSTITUTE(UPPER(E164),CHAR(160),"")))
     )
  ),
  0
)</f>
        <v>0</v>
      </c>
      <c r="J164" s="8" cm="1">
        <f t="array" ref="J164">IFERROR(
  IF(D164&lt;&gt;"Catherine",
     0,
     SUMPRODUCT(
       (TRIM(SUBSTITUTE(UPPER($B$2:$B164),CHAR(160),""))=TRIM(SUBSTITUTE(UPPER(B164),CHAR(160),"")))*
       (TRIM(SUBSTITUTE(UPPER($C$2:$C164),CHAR(160),""))=TRIM(SUBSTITUTE(UPPER(C164),CHAR(160),"")))*
       (TRIM(SUBSTITUTE(UPPER($D$2:$D164),CHAR(160),""))=TRIM(SUBSTITUTE(UPPER(D164),CHAR(160),"")))*
       (TRIM(SUBSTITUTE(UPPER($E$2:$E164),CHAR(160),""))=TRIM(SUBSTITUTE(UPPER(E164),CHAR(160),"")))
     )
  ),
  0
)</f>
        <v>0</v>
      </c>
      <c r="K164" s="9">
        <f>IFERROR(
  IF(
    D164&lt;&gt;"Cédric",
    0,
    IF(
      C164="",
      IF(
        COUNTIFS($B$2:B164,B164,$E$2:E164,E164,$D$2:D164,D164)=1,
        INDEX([1]DB!$A:$A,MATCH($E164,[1]DB!$D:$D,0)),
        IF(
          COUNTIFS($B$2:B164,B164,$E$2:E164,E164,$D$2:D164,D164)=2,
          INDEX([1]DB!$B:$B,MATCH($E164,[1]DB!$D:$D,0)),
          INDEX([1]DB!$C:$C,MATCH($E164,[1]DB!$D:$D,0))
        )
      ),
      IF(
        COUNTIFS($C$2:C164,C164,$E$2:E164,E164,$D$2:D164,D164)=1,
        INDEX([1]DB!$A:$A,MATCH($E164,[1]DB!$D:$D,0)),
        IF(
          COUNTIFS($C$2:C164,C164,$E$2:E164,E164,$D$2:D164,D164)=2,
          INDEX([1]DB!$B:$B,MATCH($E164,[1]DB!$D:$D,0)),
          INDEX([1]DB!$C:$C,MATCH($E164,[1]DB!$D:$D,0))
        )
      )
    )
  ),
  0
)</f>
        <v>0</v>
      </c>
      <c r="L164" s="9">
        <f>IFERROR(
  IF(
    D164&lt;&gt;"Geoffroy",
    0,
    IF(
      C164="",
      IF(
        COUNTIFS($B$2:B164,B164,$E$2:E164,E164,$D$2:D164,D164)=1,
        INDEX([1]DB!$A:$A,MATCH($E164,[1]DB!$D:$D,0)),
        IF(
          COUNTIFS($B$2:B164,B164,$E$2:E164,E164,$D$2:D164,D164)=2,
          INDEX([1]DB!$B:$B,MATCH($E164,[1]DB!$D:$D,0)),
          INDEX([1]DB!$C:$C,MATCH($E164,[1]DB!$D:$D,0))
        )
      ),
      IF(
        COUNTIFS($C$2:C164,C164,$E$2:E164,E164,$D$2:D164,D164)=1,
        INDEX([1]DB!$A:$A,MATCH($E164,[1]DB!$D:$D,0)),
        IF(
          COUNTIFS($C$2:C164,C164,$E$2:E164,E164,$D$2:D164,D164)=2,
          INDEX([1]DB!$B:$B,MATCH($E164,[1]DB!$D:$D,0)),
          INDEX([1]DB!$C:$C,MATCH($E164,[1]DB!$D:$D,0))
        )
      )
    )
  ),
  0
)</f>
        <v>0</v>
      </c>
      <c r="M164" s="9">
        <f>IFERROR(
  IF(
    D164&lt;&gt;"Tiphaine",
    0,
    IF(
      C164="",
      IF(
        COUNTIFS($B$2:B164,B164,$E$2:E164,E164,$D$2:D164,D164)=1,
        INDEX([1]DB!$A:$A,MATCH($E164,[1]DB!$D:$D,0)),
        IF(
          COUNTIFS($B$2:B164,B164,$E$2:E164,E164,$D$2:D164,D164)=2,
          INDEX([1]DB!$B:$B,MATCH($E164,[1]DB!$D:$D,0)),
          INDEX([1]DB!$C:$C,MATCH($E164,[1]DB!$D:$D,0))
        )
      ),
      IF(
        COUNTIFS($C$2:C164,C164,$E$2:E164,E164,$D$2:D164,D164)=1,
        INDEX([1]DB!$A:$A,MATCH($E164,[1]DB!$D:$D,0)),
        IF(
          COUNTIFS($C$2:C164,C164,$E$2:E164,E164,$D$2:D164,D164)=2,
          INDEX([1]DB!$B:$B,MATCH($E164,[1]DB!$D:$D,0)),
          INDEX([1]DB!$C:$C,MATCH($E164,[1]DB!$D:$D,0))
        )
      )
    )
  ),
  0
)</f>
        <v>0</v>
      </c>
      <c r="N164" s="9">
        <f>IFERROR(
  IF(
    D164&lt;&gt;"Catherine",
    0,
    IF(
      C164="",
      IF(
        COUNTIFS($B$2:B164,B164,$E$2:E164,E164,$D$2:D164,D164)=1,
        INDEX([1]DB!$A:$A,MATCH($E164,[1]DB!$D:$D,0)),
        IF(
          COUNTIFS($B$2:B164,B164,$E$2:E164,E164,$D$2:D164,D164)=2,
          INDEX([1]DB!$B:$B,MATCH($E164,[1]DB!$D:$D,0)),
          INDEX([1]DB!$C:$C,MATCH($E164,[1]DB!$D:$D,0))
        )
      ),
      IF(
        COUNTIFS($C$2:C164,C164,$E$2:E164,E164,$D$2:D164,D164)=1,
        INDEX([1]DB!$A:$A,MATCH($E164,[1]DB!$D:$D,0)),
        IF(
          COUNTIFS($C$2:C164,C164,$E$2:E164,E164,$D$2:D164,D164)=2,
          INDEX([1]DB!$B:$B,MATCH($E164,[1]DB!$D:$D,0)),
          INDEX([1]DB!$C:$C,MATCH($E164,[1]DB!$D:$D,0))
        )
      )
    )
  ),
  0
)</f>
        <v>0</v>
      </c>
      <c r="O164" s="5" t="str">
        <f>IF(DAY(A164)&lt;=15,UPPER(LEFT(TEXT(A164,"mmmm"),1))&amp;RIGHT(TEXT(A164,"mmmm"),LEN(TEXT(A164,"mmmm"))-1),UPPER(LEFT(TEXT(DATE(YEAR(A164),MONTH(A164)+1,1),"mmmm"),1))&amp;RIGHT(TEXT(DATE(YEAR(A164),MONTH(A164)+1,1),"mmmm"),LEN(TEXT(DATE(YEAR(A164),MONTH(A164)+1,1),"mmmm"))-1))</f>
        <v>Janvier</v>
      </c>
      <c r="P164" s="6" t="str">
        <f ca="1">IF(AND(A164&lt;=TODAY(),F164&lt;&gt;""),"OK","NON")</f>
        <v>NON</v>
      </c>
    </row>
    <row r="165" spans="1:16">
      <c r="A165" s="4"/>
      <c r="B165" s="5"/>
      <c r="C165" s="5"/>
      <c r="D165" s="6"/>
      <c r="E165" s="6"/>
      <c r="F165" s="7"/>
      <c r="G165" s="8" cm="1">
        <f t="array" ref="G165">IFERROR(
  IF(D165&lt;&gt;"Cédric",
     0,
     SUMPRODUCT(
       (TRIM(SUBSTITUTE(UPPER($B$2:$B165),CHAR(160),""))=TRIM(SUBSTITUTE(UPPER(B165),CHAR(160),"")))*
       (TRIM(SUBSTITUTE(UPPER($C$2:$C165),CHAR(160),""))=TRIM(SUBSTITUTE(UPPER(C165),CHAR(160),"")))*
       (TRIM(SUBSTITUTE(UPPER($D$2:$D165),CHAR(160),""))=TRIM(SUBSTITUTE(UPPER(D165),CHAR(160),"")))*
       (TRIM(SUBSTITUTE(UPPER($E$2:$E165),CHAR(160),""))=TRIM(SUBSTITUTE(UPPER(E165),CHAR(160),"")))
     )
  ),
  0
)</f>
        <v>0</v>
      </c>
      <c r="H165" s="8" cm="1">
        <f t="array" ref="H165">IFERROR(
  IF(D165&lt;&gt;"Geoffroy",
     0,
     SUMPRODUCT(
       (TRIM(SUBSTITUTE(UPPER($B$2:$B165),CHAR(160),""))=TRIM(SUBSTITUTE(UPPER(B165),CHAR(160),"")))*
       (TRIM(SUBSTITUTE(UPPER($C$2:$C165),CHAR(160),""))=TRIM(SUBSTITUTE(UPPER(C165),CHAR(160),"")))*
       (TRIM(SUBSTITUTE(UPPER($D$2:$D165),CHAR(160),""))=TRIM(SUBSTITUTE(UPPER(D165),CHAR(160),"")))*
       (TRIM(SUBSTITUTE(UPPER($E$2:$E165),CHAR(160),""))=TRIM(SUBSTITUTE(UPPER(E165),CHAR(160),"")))
     )
  ),
  0
)</f>
        <v>0</v>
      </c>
      <c r="I165" s="8" cm="1">
        <f t="array" ref="I165">IFERROR(
  IF(D165&lt;&gt;"Tiphaine",
     0,
     SUMPRODUCT(
       (TRIM(SUBSTITUTE(UPPER($B$2:$B165),CHAR(160),""))=TRIM(SUBSTITUTE(UPPER(B165),CHAR(160),"")))*
       (TRIM(SUBSTITUTE(UPPER($C$2:$C165),CHAR(160),""))=TRIM(SUBSTITUTE(UPPER(C165),CHAR(160),"")))*
       (TRIM(SUBSTITUTE(UPPER($D$2:$D165),CHAR(160),""))=TRIM(SUBSTITUTE(UPPER(D165),CHAR(160),"")))*
       (TRIM(SUBSTITUTE(UPPER($E$2:$E165),CHAR(160),""))=TRIM(SUBSTITUTE(UPPER(E165),CHAR(160),"")))
     )
  ),
  0
)</f>
        <v>0</v>
      </c>
      <c r="J165" s="8" cm="1">
        <f t="array" ref="J165">IFERROR(
  IF(D165&lt;&gt;"Catherine",
     0,
     SUMPRODUCT(
       (TRIM(SUBSTITUTE(UPPER($B$2:$B165),CHAR(160),""))=TRIM(SUBSTITUTE(UPPER(B165),CHAR(160),"")))*
       (TRIM(SUBSTITUTE(UPPER($C$2:$C165),CHAR(160),""))=TRIM(SUBSTITUTE(UPPER(C165),CHAR(160),"")))*
       (TRIM(SUBSTITUTE(UPPER($D$2:$D165),CHAR(160),""))=TRIM(SUBSTITUTE(UPPER(D165),CHAR(160),"")))*
       (TRIM(SUBSTITUTE(UPPER($E$2:$E165),CHAR(160),""))=TRIM(SUBSTITUTE(UPPER(E165),CHAR(160),"")))
     )
  ),
  0
)</f>
        <v>0</v>
      </c>
      <c r="K165" s="9">
        <f>IFERROR(
  IF(
    D165&lt;&gt;"Cédric",
    0,
    IF(
      C165="",
      IF(
        COUNTIFS($B$2:B165,B165,$E$2:E165,E165,$D$2:D165,D165)=1,
        INDEX([1]DB!$A:$A,MATCH($E165,[1]DB!$D:$D,0)),
        IF(
          COUNTIFS($B$2:B165,B165,$E$2:E165,E165,$D$2:D165,D165)=2,
          INDEX([1]DB!$B:$B,MATCH($E165,[1]DB!$D:$D,0)),
          INDEX([1]DB!$C:$C,MATCH($E165,[1]DB!$D:$D,0))
        )
      ),
      IF(
        COUNTIFS($C$2:C165,C165,$E$2:E165,E165,$D$2:D165,D165)=1,
        INDEX([1]DB!$A:$A,MATCH($E165,[1]DB!$D:$D,0)),
        IF(
          COUNTIFS($C$2:C165,C165,$E$2:E165,E165,$D$2:D165,D165)=2,
          INDEX([1]DB!$B:$B,MATCH($E165,[1]DB!$D:$D,0)),
          INDEX([1]DB!$C:$C,MATCH($E165,[1]DB!$D:$D,0))
        )
      )
    )
  ),
  0
)</f>
        <v>0</v>
      </c>
      <c r="L165" s="9">
        <f>IFERROR(
  IF(
    D165&lt;&gt;"Geoffroy",
    0,
    IF(
      C165="",
      IF(
        COUNTIFS($B$2:B165,B165,$E$2:E165,E165,$D$2:D165,D165)=1,
        INDEX([1]DB!$A:$A,MATCH($E165,[1]DB!$D:$D,0)),
        IF(
          COUNTIFS($B$2:B165,B165,$E$2:E165,E165,$D$2:D165,D165)=2,
          INDEX([1]DB!$B:$B,MATCH($E165,[1]DB!$D:$D,0)),
          INDEX([1]DB!$C:$C,MATCH($E165,[1]DB!$D:$D,0))
        )
      ),
      IF(
        COUNTIFS($C$2:C165,C165,$E$2:E165,E165,$D$2:D165,D165)=1,
        INDEX([1]DB!$A:$A,MATCH($E165,[1]DB!$D:$D,0)),
        IF(
          COUNTIFS($C$2:C165,C165,$E$2:E165,E165,$D$2:D165,D165)=2,
          INDEX([1]DB!$B:$B,MATCH($E165,[1]DB!$D:$D,0)),
          INDEX([1]DB!$C:$C,MATCH($E165,[1]DB!$D:$D,0))
        )
      )
    )
  ),
  0
)</f>
        <v>0</v>
      </c>
      <c r="M165" s="9">
        <f>IFERROR(
  IF(
    D165&lt;&gt;"Tiphaine",
    0,
    IF(
      C165="",
      IF(
        COUNTIFS($B$2:B165,B165,$E$2:E165,E165,$D$2:D165,D165)=1,
        INDEX([1]DB!$A:$A,MATCH($E165,[1]DB!$D:$D,0)),
        IF(
          COUNTIFS($B$2:B165,B165,$E$2:E165,E165,$D$2:D165,D165)=2,
          INDEX([1]DB!$B:$B,MATCH($E165,[1]DB!$D:$D,0)),
          INDEX([1]DB!$C:$C,MATCH($E165,[1]DB!$D:$D,0))
        )
      ),
      IF(
        COUNTIFS($C$2:C165,C165,$E$2:E165,E165,$D$2:D165,D165)=1,
        INDEX([1]DB!$A:$A,MATCH($E165,[1]DB!$D:$D,0)),
        IF(
          COUNTIFS($C$2:C165,C165,$E$2:E165,E165,$D$2:D165,D165)=2,
          INDEX([1]DB!$B:$B,MATCH($E165,[1]DB!$D:$D,0)),
          INDEX([1]DB!$C:$C,MATCH($E165,[1]DB!$D:$D,0))
        )
      )
    )
  ),
  0
)</f>
        <v>0</v>
      </c>
      <c r="N165" s="9">
        <f>IFERROR(
  IF(
    D165&lt;&gt;"Catherine",
    0,
    IF(
      C165="",
      IF(
        COUNTIFS($B$2:B165,B165,$E$2:E165,E165,$D$2:D165,D165)=1,
        INDEX([1]DB!$A:$A,MATCH($E165,[1]DB!$D:$D,0)),
        IF(
          COUNTIFS($B$2:B165,B165,$E$2:E165,E165,$D$2:D165,D165)=2,
          INDEX([1]DB!$B:$B,MATCH($E165,[1]DB!$D:$D,0)),
          INDEX([1]DB!$C:$C,MATCH($E165,[1]DB!$D:$D,0))
        )
      ),
      IF(
        COUNTIFS($C$2:C165,C165,$E$2:E165,E165,$D$2:D165,D165)=1,
        INDEX([1]DB!$A:$A,MATCH($E165,[1]DB!$D:$D,0)),
        IF(
          COUNTIFS($C$2:C165,C165,$E$2:E165,E165,$D$2:D165,D165)=2,
          INDEX([1]DB!$B:$B,MATCH($E165,[1]DB!$D:$D,0)),
          INDEX([1]DB!$C:$C,MATCH($E165,[1]DB!$D:$D,0))
        )
      )
    )
  ),
  0
)</f>
        <v>0</v>
      </c>
      <c r="O165" s="5" t="str">
        <f>IF(DAY(A165)&lt;=15,UPPER(LEFT(TEXT(A165,"mmmm"),1))&amp;RIGHT(TEXT(A165,"mmmm"),LEN(TEXT(A165,"mmmm"))-1),UPPER(LEFT(TEXT(DATE(YEAR(A165),MONTH(A165)+1,1),"mmmm"),1))&amp;RIGHT(TEXT(DATE(YEAR(A165),MONTH(A165)+1,1),"mmmm"),LEN(TEXT(DATE(YEAR(A165),MONTH(A165)+1,1),"mmmm"))-1))</f>
        <v>Janvier</v>
      </c>
      <c r="P165" s="6" t="str">
        <f ca="1">IF(AND(A165&lt;=TODAY(),F165&lt;&gt;""),"OK","NON")</f>
        <v>NON</v>
      </c>
    </row>
    <row r="166" spans="1:16">
      <c r="A166" s="4"/>
      <c r="B166" s="5"/>
      <c r="C166" s="5"/>
      <c r="D166" s="6"/>
      <c r="E166" s="6"/>
      <c r="F166" s="7"/>
      <c r="G166" s="8" cm="1">
        <f t="array" ref="G166">IFERROR(
  IF(D166&lt;&gt;"Cédric",
     0,
     SUMPRODUCT(
       (TRIM(SUBSTITUTE(UPPER($B$2:$B166),CHAR(160),""))=TRIM(SUBSTITUTE(UPPER(B166),CHAR(160),"")))*
       (TRIM(SUBSTITUTE(UPPER($C$2:$C166),CHAR(160),""))=TRIM(SUBSTITUTE(UPPER(C166),CHAR(160),"")))*
       (TRIM(SUBSTITUTE(UPPER($D$2:$D166),CHAR(160),""))=TRIM(SUBSTITUTE(UPPER(D166),CHAR(160),"")))*
       (TRIM(SUBSTITUTE(UPPER($E$2:$E166),CHAR(160),""))=TRIM(SUBSTITUTE(UPPER(E166),CHAR(160),"")))
     )
  ),
  0
)</f>
        <v>0</v>
      </c>
      <c r="H166" s="8" cm="1">
        <f t="array" ref="H166">IFERROR(
  IF(D166&lt;&gt;"Geoffroy",
     0,
     SUMPRODUCT(
       (TRIM(SUBSTITUTE(UPPER($B$2:$B166),CHAR(160),""))=TRIM(SUBSTITUTE(UPPER(B166),CHAR(160),"")))*
       (TRIM(SUBSTITUTE(UPPER($C$2:$C166),CHAR(160),""))=TRIM(SUBSTITUTE(UPPER(C166),CHAR(160),"")))*
       (TRIM(SUBSTITUTE(UPPER($D$2:$D166),CHAR(160),""))=TRIM(SUBSTITUTE(UPPER(D166),CHAR(160),"")))*
       (TRIM(SUBSTITUTE(UPPER($E$2:$E166),CHAR(160),""))=TRIM(SUBSTITUTE(UPPER(E166),CHAR(160),"")))
     )
  ),
  0
)</f>
        <v>0</v>
      </c>
      <c r="I166" s="8" cm="1">
        <f t="array" ref="I166">IFERROR(
  IF(D166&lt;&gt;"Tiphaine",
     0,
     SUMPRODUCT(
       (TRIM(SUBSTITUTE(UPPER($B$2:$B166),CHAR(160),""))=TRIM(SUBSTITUTE(UPPER(B166),CHAR(160),"")))*
       (TRIM(SUBSTITUTE(UPPER($C$2:$C166),CHAR(160),""))=TRIM(SUBSTITUTE(UPPER(C166),CHAR(160),"")))*
       (TRIM(SUBSTITUTE(UPPER($D$2:$D166),CHAR(160),""))=TRIM(SUBSTITUTE(UPPER(D166),CHAR(160),"")))*
       (TRIM(SUBSTITUTE(UPPER($E$2:$E166),CHAR(160),""))=TRIM(SUBSTITUTE(UPPER(E166),CHAR(160),"")))
     )
  ),
  0
)</f>
        <v>0</v>
      </c>
      <c r="J166" s="8" cm="1">
        <f t="array" ref="J166">IFERROR(
  IF(D166&lt;&gt;"Catherine",
     0,
     SUMPRODUCT(
       (TRIM(SUBSTITUTE(UPPER($B$2:$B166),CHAR(160),""))=TRIM(SUBSTITUTE(UPPER(B166),CHAR(160),"")))*
       (TRIM(SUBSTITUTE(UPPER($C$2:$C166),CHAR(160),""))=TRIM(SUBSTITUTE(UPPER(C166),CHAR(160),"")))*
       (TRIM(SUBSTITUTE(UPPER($D$2:$D166),CHAR(160),""))=TRIM(SUBSTITUTE(UPPER(D166),CHAR(160),"")))*
       (TRIM(SUBSTITUTE(UPPER($E$2:$E166),CHAR(160),""))=TRIM(SUBSTITUTE(UPPER(E166),CHAR(160),"")))
     )
  ),
  0
)</f>
        <v>0</v>
      </c>
      <c r="K166" s="9">
        <f>IFERROR(
  IF(
    D166&lt;&gt;"Cédric",
    0,
    IF(
      C166="",
      IF(
        COUNTIFS($B$2:B166,B166,$E$2:E166,E166,$D$2:D166,D166)=1,
        INDEX([1]DB!$A:$A,MATCH($E166,[1]DB!$D:$D,0)),
        IF(
          COUNTIFS($B$2:B166,B166,$E$2:E166,E166,$D$2:D166,D166)=2,
          INDEX([1]DB!$B:$B,MATCH($E166,[1]DB!$D:$D,0)),
          INDEX([1]DB!$C:$C,MATCH($E166,[1]DB!$D:$D,0))
        )
      ),
      IF(
        COUNTIFS($C$2:C166,C166,$E$2:E166,E166,$D$2:D166,D166)=1,
        INDEX([1]DB!$A:$A,MATCH($E166,[1]DB!$D:$D,0)),
        IF(
          COUNTIFS($C$2:C166,C166,$E$2:E166,E166,$D$2:D166,D166)=2,
          INDEX([1]DB!$B:$B,MATCH($E166,[1]DB!$D:$D,0)),
          INDEX([1]DB!$C:$C,MATCH($E166,[1]DB!$D:$D,0))
        )
      )
    )
  ),
  0
)</f>
        <v>0</v>
      </c>
      <c r="L166" s="9">
        <f>IFERROR(
  IF(
    D166&lt;&gt;"Geoffroy",
    0,
    IF(
      C166="",
      IF(
        COUNTIFS($B$2:B166,B166,$E$2:E166,E166,$D$2:D166,D166)=1,
        INDEX([1]DB!$A:$A,MATCH($E166,[1]DB!$D:$D,0)),
        IF(
          COUNTIFS($B$2:B166,B166,$E$2:E166,E166,$D$2:D166,D166)=2,
          INDEX([1]DB!$B:$B,MATCH($E166,[1]DB!$D:$D,0)),
          INDEX([1]DB!$C:$C,MATCH($E166,[1]DB!$D:$D,0))
        )
      ),
      IF(
        COUNTIFS($C$2:C166,C166,$E$2:E166,E166,$D$2:D166,D166)=1,
        INDEX([1]DB!$A:$A,MATCH($E166,[1]DB!$D:$D,0)),
        IF(
          COUNTIFS($C$2:C166,C166,$E$2:E166,E166,$D$2:D166,D166)=2,
          INDEX([1]DB!$B:$B,MATCH($E166,[1]DB!$D:$D,0)),
          INDEX([1]DB!$C:$C,MATCH($E166,[1]DB!$D:$D,0))
        )
      )
    )
  ),
  0
)</f>
        <v>0</v>
      </c>
      <c r="M166" s="9">
        <f>IFERROR(
  IF(
    D166&lt;&gt;"Tiphaine",
    0,
    IF(
      C166="",
      IF(
        COUNTIFS($B$2:B166,B166,$E$2:E166,E166,$D$2:D166,D166)=1,
        INDEX([1]DB!$A:$A,MATCH($E166,[1]DB!$D:$D,0)),
        IF(
          COUNTIFS($B$2:B166,B166,$E$2:E166,E166,$D$2:D166,D166)=2,
          INDEX([1]DB!$B:$B,MATCH($E166,[1]DB!$D:$D,0)),
          INDEX([1]DB!$C:$C,MATCH($E166,[1]DB!$D:$D,0))
        )
      ),
      IF(
        COUNTIFS($C$2:C166,C166,$E$2:E166,E166,$D$2:D166,D166)=1,
        INDEX([1]DB!$A:$A,MATCH($E166,[1]DB!$D:$D,0)),
        IF(
          COUNTIFS($C$2:C166,C166,$E$2:E166,E166,$D$2:D166,D166)=2,
          INDEX([1]DB!$B:$B,MATCH($E166,[1]DB!$D:$D,0)),
          INDEX([1]DB!$C:$C,MATCH($E166,[1]DB!$D:$D,0))
        )
      )
    )
  ),
  0
)</f>
        <v>0</v>
      </c>
      <c r="N166" s="9">
        <f>IFERROR(
  IF(
    D166&lt;&gt;"Catherine",
    0,
    IF(
      C166="",
      IF(
        COUNTIFS($B$2:B166,B166,$E$2:E166,E166,$D$2:D166,D166)=1,
        INDEX([1]DB!$A:$A,MATCH($E166,[1]DB!$D:$D,0)),
        IF(
          COUNTIFS($B$2:B166,B166,$E$2:E166,E166,$D$2:D166,D166)=2,
          INDEX([1]DB!$B:$B,MATCH($E166,[1]DB!$D:$D,0)),
          INDEX([1]DB!$C:$C,MATCH($E166,[1]DB!$D:$D,0))
        )
      ),
      IF(
        COUNTIFS($C$2:C166,C166,$E$2:E166,E166,$D$2:D166,D166)=1,
        INDEX([1]DB!$A:$A,MATCH($E166,[1]DB!$D:$D,0)),
        IF(
          COUNTIFS($C$2:C166,C166,$E$2:E166,E166,$D$2:D166,D166)=2,
          INDEX([1]DB!$B:$B,MATCH($E166,[1]DB!$D:$D,0)),
          INDEX([1]DB!$C:$C,MATCH($E166,[1]DB!$D:$D,0))
        )
      )
    )
  ),
  0
)</f>
        <v>0</v>
      </c>
      <c r="O166" s="5" t="str">
        <f>IF(DAY(A166)&lt;=15,UPPER(LEFT(TEXT(A166,"mmmm"),1))&amp;RIGHT(TEXT(A166,"mmmm"),LEN(TEXT(A166,"mmmm"))-1),UPPER(LEFT(TEXT(DATE(YEAR(A166),MONTH(A166)+1,1),"mmmm"),1))&amp;RIGHT(TEXT(DATE(YEAR(A166),MONTH(A166)+1,1),"mmmm"),LEN(TEXT(DATE(YEAR(A166),MONTH(A166)+1,1),"mmmm"))-1))</f>
        <v>Janvier</v>
      </c>
      <c r="P166" s="6" t="str">
        <f ca="1">IF(AND(A166&lt;=TODAY(),F166&lt;&gt;""),"OK","NON")</f>
        <v>NON</v>
      </c>
    </row>
    <row r="167" spans="1:16">
      <c r="A167" s="4"/>
      <c r="B167" s="5"/>
      <c r="C167" s="5"/>
      <c r="D167" s="6"/>
      <c r="E167" s="6"/>
      <c r="F167" s="7"/>
      <c r="G167" s="8" cm="1">
        <f t="array" ref="G167">IFERROR(
  IF(D167&lt;&gt;"Cédric",
     0,
     SUMPRODUCT(
       (TRIM(SUBSTITUTE(UPPER($B$2:$B167),CHAR(160),""))=TRIM(SUBSTITUTE(UPPER(B167),CHAR(160),"")))*
       (TRIM(SUBSTITUTE(UPPER($C$2:$C167),CHAR(160),""))=TRIM(SUBSTITUTE(UPPER(C167),CHAR(160),"")))*
       (TRIM(SUBSTITUTE(UPPER($D$2:$D167),CHAR(160),""))=TRIM(SUBSTITUTE(UPPER(D167),CHAR(160),"")))*
       (TRIM(SUBSTITUTE(UPPER($E$2:$E167),CHAR(160),""))=TRIM(SUBSTITUTE(UPPER(E167),CHAR(160),"")))
     )
  ),
  0
)</f>
        <v>0</v>
      </c>
      <c r="H167" s="8" cm="1">
        <f t="array" ref="H167">IFERROR(
  IF(D167&lt;&gt;"Geoffroy",
     0,
     SUMPRODUCT(
       (TRIM(SUBSTITUTE(UPPER($B$2:$B167),CHAR(160),""))=TRIM(SUBSTITUTE(UPPER(B167),CHAR(160),"")))*
       (TRIM(SUBSTITUTE(UPPER($C$2:$C167),CHAR(160),""))=TRIM(SUBSTITUTE(UPPER(C167),CHAR(160),"")))*
       (TRIM(SUBSTITUTE(UPPER($D$2:$D167),CHAR(160),""))=TRIM(SUBSTITUTE(UPPER(D167),CHAR(160),"")))*
       (TRIM(SUBSTITUTE(UPPER($E$2:$E167),CHAR(160),""))=TRIM(SUBSTITUTE(UPPER(E167),CHAR(160),"")))
     )
  ),
  0
)</f>
        <v>0</v>
      </c>
      <c r="I167" s="8" cm="1">
        <f t="array" ref="I167">IFERROR(
  IF(D167&lt;&gt;"Tiphaine",
     0,
     SUMPRODUCT(
       (TRIM(SUBSTITUTE(UPPER($B$2:$B167),CHAR(160),""))=TRIM(SUBSTITUTE(UPPER(B167),CHAR(160),"")))*
       (TRIM(SUBSTITUTE(UPPER($C$2:$C167),CHAR(160),""))=TRIM(SUBSTITUTE(UPPER(C167),CHAR(160),"")))*
       (TRIM(SUBSTITUTE(UPPER($D$2:$D167),CHAR(160),""))=TRIM(SUBSTITUTE(UPPER(D167),CHAR(160),"")))*
       (TRIM(SUBSTITUTE(UPPER($E$2:$E167),CHAR(160),""))=TRIM(SUBSTITUTE(UPPER(E167),CHAR(160),"")))
     )
  ),
  0
)</f>
        <v>0</v>
      </c>
      <c r="J167" s="8" cm="1">
        <f t="array" ref="J167">IFERROR(
  IF(D167&lt;&gt;"Catherine",
     0,
     SUMPRODUCT(
       (TRIM(SUBSTITUTE(UPPER($B$2:$B167),CHAR(160),""))=TRIM(SUBSTITUTE(UPPER(B167),CHAR(160),"")))*
       (TRIM(SUBSTITUTE(UPPER($C$2:$C167),CHAR(160),""))=TRIM(SUBSTITUTE(UPPER(C167),CHAR(160),"")))*
       (TRIM(SUBSTITUTE(UPPER($D$2:$D167),CHAR(160),""))=TRIM(SUBSTITUTE(UPPER(D167),CHAR(160),"")))*
       (TRIM(SUBSTITUTE(UPPER($E$2:$E167),CHAR(160),""))=TRIM(SUBSTITUTE(UPPER(E167),CHAR(160),"")))
     )
  ),
  0
)</f>
        <v>0</v>
      </c>
      <c r="K167" s="9">
        <f>IFERROR(
  IF(
    D167&lt;&gt;"Cédric",
    0,
    IF(
      C167="",
      IF(
        COUNTIFS($B$2:B167,B167,$E$2:E167,E167,$D$2:D167,D167)=1,
        INDEX([1]DB!$A:$A,MATCH($E167,[1]DB!$D:$D,0)),
        IF(
          COUNTIFS($B$2:B167,B167,$E$2:E167,E167,$D$2:D167,D167)=2,
          INDEX([1]DB!$B:$B,MATCH($E167,[1]DB!$D:$D,0)),
          INDEX([1]DB!$C:$C,MATCH($E167,[1]DB!$D:$D,0))
        )
      ),
      IF(
        COUNTIFS($C$2:C167,C167,$E$2:E167,E167,$D$2:D167,D167)=1,
        INDEX([1]DB!$A:$A,MATCH($E167,[1]DB!$D:$D,0)),
        IF(
          COUNTIFS($C$2:C167,C167,$E$2:E167,E167,$D$2:D167,D167)=2,
          INDEX([1]DB!$B:$B,MATCH($E167,[1]DB!$D:$D,0)),
          INDEX([1]DB!$C:$C,MATCH($E167,[1]DB!$D:$D,0))
        )
      )
    )
  ),
  0
)</f>
        <v>0</v>
      </c>
      <c r="L167" s="9">
        <f>IFERROR(
  IF(
    D167&lt;&gt;"Geoffroy",
    0,
    IF(
      C167="",
      IF(
        COUNTIFS($B$2:B167,B167,$E$2:E167,E167,$D$2:D167,D167)=1,
        INDEX([1]DB!$A:$A,MATCH($E167,[1]DB!$D:$D,0)),
        IF(
          COUNTIFS($B$2:B167,B167,$E$2:E167,E167,$D$2:D167,D167)=2,
          INDEX([1]DB!$B:$B,MATCH($E167,[1]DB!$D:$D,0)),
          INDEX([1]DB!$C:$C,MATCH($E167,[1]DB!$D:$D,0))
        )
      ),
      IF(
        COUNTIFS($C$2:C167,C167,$E$2:E167,E167,$D$2:D167,D167)=1,
        INDEX([1]DB!$A:$A,MATCH($E167,[1]DB!$D:$D,0)),
        IF(
          COUNTIFS($C$2:C167,C167,$E$2:E167,E167,$D$2:D167,D167)=2,
          INDEX([1]DB!$B:$B,MATCH($E167,[1]DB!$D:$D,0)),
          INDEX([1]DB!$C:$C,MATCH($E167,[1]DB!$D:$D,0))
        )
      )
    )
  ),
  0
)</f>
        <v>0</v>
      </c>
      <c r="M167" s="9">
        <f>IFERROR(
  IF(
    D167&lt;&gt;"Tiphaine",
    0,
    IF(
      C167="",
      IF(
        COUNTIFS($B$2:B167,B167,$E$2:E167,E167,$D$2:D167,D167)=1,
        INDEX([1]DB!$A:$A,MATCH($E167,[1]DB!$D:$D,0)),
        IF(
          COUNTIFS($B$2:B167,B167,$E$2:E167,E167,$D$2:D167,D167)=2,
          INDEX([1]DB!$B:$B,MATCH($E167,[1]DB!$D:$D,0)),
          INDEX([1]DB!$C:$C,MATCH($E167,[1]DB!$D:$D,0))
        )
      ),
      IF(
        COUNTIFS($C$2:C167,C167,$E$2:E167,E167,$D$2:D167,D167)=1,
        INDEX([1]DB!$A:$A,MATCH($E167,[1]DB!$D:$D,0)),
        IF(
          COUNTIFS($C$2:C167,C167,$E$2:E167,E167,$D$2:D167,D167)=2,
          INDEX([1]DB!$B:$B,MATCH($E167,[1]DB!$D:$D,0)),
          INDEX([1]DB!$C:$C,MATCH($E167,[1]DB!$D:$D,0))
        )
      )
    )
  ),
  0
)</f>
        <v>0</v>
      </c>
      <c r="N167" s="9">
        <f>IFERROR(
  IF(
    D167&lt;&gt;"Catherine",
    0,
    IF(
      C167="",
      IF(
        COUNTIFS($B$2:B167,B167,$E$2:E167,E167,$D$2:D167,D167)=1,
        INDEX([1]DB!$A:$A,MATCH($E167,[1]DB!$D:$D,0)),
        IF(
          COUNTIFS($B$2:B167,B167,$E$2:E167,E167,$D$2:D167,D167)=2,
          INDEX([1]DB!$B:$B,MATCH($E167,[1]DB!$D:$D,0)),
          INDEX([1]DB!$C:$C,MATCH($E167,[1]DB!$D:$D,0))
        )
      ),
      IF(
        COUNTIFS($C$2:C167,C167,$E$2:E167,E167,$D$2:D167,D167)=1,
        INDEX([1]DB!$A:$A,MATCH($E167,[1]DB!$D:$D,0)),
        IF(
          COUNTIFS($C$2:C167,C167,$E$2:E167,E167,$D$2:D167,D167)=2,
          INDEX([1]DB!$B:$B,MATCH($E167,[1]DB!$D:$D,0)),
          INDEX([1]DB!$C:$C,MATCH($E167,[1]DB!$D:$D,0))
        )
      )
    )
  ),
  0
)</f>
        <v>0</v>
      </c>
      <c r="O167" s="5" t="str">
        <f>IF(DAY(A167)&lt;=15,UPPER(LEFT(TEXT(A167,"mmmm"),1))&amp;RIGHT(TEXT(A167,"mmmm"),LEN(TEXT(A167,"mmmm"))-1),UPPER(LEFT(TEXT(DATE(YEAR(A167),MONTH(A167)+1,1),"mmmm"),1))&amp;RIGHT(TEXT(DATE(YEAR(A167),MONTH(A167)+1,1),"mmmm"),LEN(TEXT(DATE(YEAR(A167),MONTH(A167)+1,1),"mmmm"))-1))</f>
        <v>Janvier</v>
      </c>
      <c r="P167" s="6" t="str">
        <f ca="1">IF(AND(A167&lt;=TODAY(),F167&lt;&gt;""),"OK","NON")</f>
        <v>NON</v>
      </c>
    </row>
    <row r="168" spans="1:16">
      <c r="A168" s="4"/>
      <c r="B168" s="5"/>
      <c r="C168" s="5"/>
      <c r="D168" s="6"/>
      <c r="E168" s="6"/>
      <c r="F168" s="7"/>
      <c r="G168" s="8" cm="1">
        <f t="array" ref="G168">IFERROR(
  IF(D168&lt;&gt;"Cédric",
     0,
     SUMPRODUCT(
       (TRIM(SUBSTITUTE(UPPER($B$2:$B168),CHAR(160),""))=TRIM(SUBSTITUTE(UPPER(B168),CHAR(160),"")))*
       (TRIM(SUBSTITUTE(UPPER($C$2:$C168),CHAR(160),""))=TRIM(SUBSTITUTE(UPPER(C168),CHAR(160),"")))*
       (TRIM(SUBSTITUTE(UPPER($D$2:$D168),CHAR(160),""))=TRIM(SUBSTITUTE(UPPER(D168),CHAR(160),"")))*
       (TRIM(SUBSTITUTE(UPPER($E$2:$E168),CHAR(160),""))=TRIM(SUBSTITUTE(UPPER(E168),CHAR(160),"")))
     )
  ),
  0
)</f>
        <v>0</v>
      </c>
      <c r="H168" s="8" cm="1">
        <f t="array" ref="H168">IFERROR(
  IF(D168&lt;&gt;"Geoffroy",
     0,
     SUMPRODUCT(
       (TRIM(SUBSTITUTE(UPPER($B$2:$B168),CHAR(160),""))=TRIM(SUBSTITUTE(UPPER(B168),CHAR(160),"")))*
       (TRIM(SUBSTITUTE(UPPER($C$2:$C168),CHAR(160),""))=TRIM(SUBSTITUTE(UPPER(C168),CHAR(160),"")))*
       (TRIM(SUBSTITUTE(UPPER($D$2:$D168),CHAR(160),""))=TRIM(SUBSTITUTE(UPPER(D168),CHAR(160),"")))*
       (TRIM(SUBSTITUTE(UPPER($E$2:$E168),CHAR(160),""))=TRIM(SUBSTITUTE(UPPER(E168),CHAR(160),"")))
     )
  ),
  0
)</f>
        <v>0</v>
      </c>
      <c r="I168" s="8" cm="1">
        <f t="array" ref="I168">IFERROR(
  IF(D168&lt;&gt;"Tiphaine",
     0,
     SUMPRODUCT(
       (TRIM(SUBSTITUTE(UPPER($B$2:$B168),CHAR(160),""))=TRIM(SUBSTITUTE(UPPER(B168),CHAR(160),"")))*
       (TRIM(SUBSTITUTE(UPPER($C$2:$C168),CHAR(160),""))=TRIM(SUBSTITUTE(UPPER(C168),CHAR(160),"")))*
       (TRIM(SUBSTITUTE(UPPER($D$2:$D168),CHAR(160),""))=TRIM(SUBSTITUTE(UPPER(D168),CHAR(160),"")))*
       (TRIM(SUBSTITUTE(UPPER($E$2:$E168),CHAR(160),""))=TRIM(SUBSTITUTE(UPPER(E168),CHAR(160),"")))
     )
  ),
  0
)</f>
        <v>0</v>
      </c>
      <c r="J168" s="8" cm="1">
        <f t="array" ref="J168">IFERROR(
  IF(D168&lt;&gt;"Catherine",
     0,
     SUMPRODUCT(
       (TRIM(SUBSTITUTE(UPPER($B$2:$B168),CHAR(160),""))=TRIM(SUBSTITUTE(UPPER(B168),CHAR(160),"")))*
       (TRIM(SUBSTITUTE(UPPER($C$2:$C168),CHAR(160),""))=TRIM(SUBSTITUTE(UPPER(C168),CHAR(160),"")))*
       (TRIM(SUBSTITUTE(UPPER($D$2:$D168),CHAR(160),""))=TRIM(SUBSTITUTE(UPPER(D168),CHAR(160),"")))*
       (TRIM(SUBSTITUTE(UPPER($E$2:$E168),CHAR(160),""))=TRIM(SUBSTITUTE(UPPER(E168),CHAR(160),"")))
     )
  ),
  0
)</f>
        <v>0</v>
      </c>
      <c r="K168" s="9">
        <f>IFERROR(
  IF(
    D168&lt;&gt;"Cédric",
    0,
    IF(
      C168="",
      IF(
        COUNTIFS($B$2:B168,B168,$E$2:E168,E168,$D$2:D168,D168)=1,
        INDEX([1]DB!$A:$A,MATCH($E168,[1]DB!$D:$D,0)),
        IF(
          COUNTIFS($B$2:B168,B168,$E$2:E168,E168,$D$2:D168,D168)=2,
          INDEX([1]DB!$B:$B,MATCH($E168,[1]DB!$D:$D,0)),
          INDEX([1]DB!$C:$C,MATCH($E168,[1]DB!$D:$D,0))
        )
      ),
      IF(
        COUNTIFS($C$2:C168,C168,$E$2:E168,E168,$D$2:D168,D168)=1,
        INDEX([1]DB!$A:$A,MATCH($E168,[1]DB!$D:$D,0)),
        IF(
          COUNTIFS($C$2:C168,C168,$E$2:E168,E168,$D$2:D168,D168)=2,
          INDEX([1]DB!$B:$B,MATCH($E168,[1]DB!$D:$D,0)),
          INDEX([1]DB!$C:$C,MATCH($E168,[1]DB!$D:$D,0))
        )
      )
    )
  ),
  0
)</f>
        <v>0</v>
      </c>
      <c r="L168" s="9">
        <f>IFERROR(
  IF(
    D168&lt;&gt;"Geoffroy",
    0,
    IF(
      C168="",
      IF(
        COUNTIFS($B$2:B168,B168,$E$2:E168,E168,$D$2:D168,D168)=1,
        INDEX([1]DB!$A:$A,MATCH($E168,[1]DB!$D:$D,0)),
        IF(
          COUNTIFS($B$2:B168,B168,$E$2:E168,E168,$D$2:D168,D168)=2,
          INDEX([1]DB!$B:$B,MATCH($E168,[1]DB!$D:$D,0)),
          INDEX([1]DB!$C:$C,MATCH($E168,[1]DB!$D:$D,0))
        )
      ),
      IF(
        COUNTIFS($C$2:C168,C168,$E$2:E168,E168,$D$2:D168,D168)=1,
        INDEX([1]DB!$A:$A,MATCH($E168,[1]DB!$D:$D,0)),
        IF(
          COUNTIFS($C$2:C168,C168,$E$2:E168,E168,$D$2:D168,D168)=2,
          INDEX([1]DB!$B:$B,MATCH($E168,[1]DB!$D:$D,0)),
          INDEX([1]DB!$C:$C,MATCH($E168,[1]DB!$D:$D,0))
        )
      )
    )
  ),
  0
)</f>
        <v>0</v>
      </c>
      <c r="M168" s="9">
        <f>IFERROR(
  IF(
    D168&lt;&gt;"Tiphaine",
    0,
    IF(
      C168="",
      IF(
        COUNTIFS($B$2:B168,B168,$E$2:E168,E168,$D$2:D168,D168)=1,
        INDEX([1]DB!$A:$A,MATCH($E168,[1]DB!$D:$D,0)),
        IF(
          COUNTIFS($B$2:B168,B168,$E$2:E168,E168,$D$2:D168,D168)=2,
          INDEX([1]DB!$B:$B,MATCH($E168,[1]DB!$D:$D,0)),
          INDEX([1]DB!$C:$C,MATCH($E168,[1]DB!$D:$D,0))
        )
      ),
      IF(
        COUNTIFS($C$2:C168,C168,$E$2:E168,E168,$D$2:D168,D168)=1,
        INDEX([1]DB!$A:$A,MATCH($E168,[1]DB!$D:$D,0)),
        IF(
          COUNTIFS($C$2:C168,C168,$E$2:E168,E168,$D$2:D168,D168)=2,
          INDEX([1]DB!$B:$B,MATCH($E168,[1]DB!$D:$D,0)),
          INDEX([1]DB!$C:$C,MATCH($E168,[1]DB!$D:$D,0))
        )
      )
    )
  ),
  0
)</f>
        <v>0</v>
      </c>
      <c r="N168" s="9">
        <f>IFERROR(
  IF(
    D168&lt;&gt;"Catherine",
    0,
    IF(
      C168="",
      IF(
        COUNTIFS($B$2:B168,B168,$E$2:E168,E168,$D$2:D168,D168)=1,
        INDEX([1]DB!$A:$A,MATCH($E168,[1]DB!$D:$D,0)),
        IF(
          COUNTIFS($B$2:B168,B168,$E$2:E168,E168,$D$2:D168,D168)=2,
          INDEX([1]DB!$B:$B,MATCH($E168,[1]DB!$D:$D,0)),
          INDEX([1]DB!$C:$C,MATCH($E168,[1]DB!$D:$D,0))
        )
      ),
      IF(
        COUNTIFS($C$2:C168,C168,$E$2:E168,E168,$D$2:D168,D168)=1,
        INDEX([1]DB!$A:$A,MATCH($E168,[1]DB!$D:$D,0)),
        IF(
          COUNTIFS($C$2:C168,C168,$E$2:E168,E168,$D$2:D168,D168)=2,
          INDEX([1]DB!$B:$B,MATCH($E168,[1]DB!$D:$D,0)),
          INDEX([1]DB!$C:$C,MATCH($E168,[1]DB!$D:$D,0))
        )
      )
    )
  ),
  0
)</f>
        <v>0</v>
      </c>
      <c r="O168" s="5" t="str">
        <f>IF(DAY(A168)&lt;=15,UPPER(LEFT(TEXT(A168,"mmmm"),1))&amp;RIGHT(TEXT(A168,"mmmm"),LEN(TEXT(A168,"mmmm"))-1),UPPER(LEFT(TEXT(DATE(YEAR(A168),MONTH(A168)+1,1),"mmmm"),1))&amp;RIGHT(TEXT(DATE(YEAR(A168),MONTH(A168)+1,1),"mmmm"),LEN(TEXT(DATE(YEAR(A168),MONTH(A168)+1,1),"mmmm"))-1))</f>
        <v>Janvier</v>
      </c>
      <c r="P168" s="6" t="str">
        <f ca="1">IF(AND(A168&lt;=TODAY(),F168&lt;&gt;""),"OK","NON")</f>
        <v>NON</v>
      </c>
    </row>
    <row r="169" spans="1:16">
      <c r="A169" s="4"/>
      <c r="B169" s="5"/>
      <c r="C169" s="5"/>
      <c r="D169" s="6"/>
      <c r="E169" s="6"/>
      <c r="F169" s="7"/>
      <c r="G169" s="8" cm="1">
        <f t="array" ref="G169">IFERROR(
  IF(D169&lt;&gt;"Cédric",
     0,
     SUMPRODUCT(
       (TRIM(SUBSTITUTE(UPPER($B$2:$B169),CHAR(160),""))=TRIM(SUBSTITUTE(UPPER(B169),CHAR(160),"")))*
       (TRIM(SUBSTITUTE(UPPER($C$2:$C169),CHAR(160),""))=TRIM(SUBSTITUTE(UPPER(C169),CHAR(160),"")))*
       (TRIM(SUBSTITUTE(UPPER($D$2:$D169),CHAR(160),""))=TRIM(SUBSTITUTE(UPPER(D169),CHAR(160),"")))*
       (TRIM(SUBSTITUTE(UPPER($E$2:$E169),CHAR(160),""))=TRIM(SUBSTITUTE(UPPER(E169),CHAR(160),"")))
     )
  ),
  0
)</f>
        <v>0</v>
      </c>
      <c r="H169" s="8" cm="1">
        <f t="array" ref="H169">IFERROR(
  IF(D169&lt;&gt;"Geoffroy",
     0,
     SUMPRODUCT(
       (TRIM(SUBSTITUTE(UPPER($B$2:$B169),CHAR(160),""))=TRIM(SUBSTITUTE(UPPER(B169),CHAR(160),"")))*
       (TRIM(SUBSTITUTE(UPPER($C$2:$C169),CHAR(160),""))=TRIM(SUBSTITUTE(UPPER(C169),CHAR(160),"")))*
       (TRIM(SUBSTITUTE(UPPER($D$2:$D169),CHAR(160),""))=TRIM(SUBSTITUTE(UPPER(D169),CHAR(160),"")))*
       (TRIM(SUBSTITUTE(UPPER($E$2:$E169),CHAR(160),""))=TRIM(SUBSTITUTE(UPPER(E169),CHAR(160),"")))
     )
  ),
  0
)</f>
        <v>0</v>
      </c>
      <c r="I169" s="8" cm="1">
        <f t="array" ref="I169">IFERROR(
  IF(D169&lt;&gt;"Tiphaine",
     0,
     SUMPRODUCT(
       (TRIM(SUBSTITUTE(UPPER($B$2:$B169),CHAR(160),""))=TRIM(SUBSTITUTE(UPPER(B169),CHAR(160),"")))*
       (TRIM(SUBSTITUTE(UPPER($C$2:$C169),CHAR(160),""))=TRIM(SUBSTITUTE(UPPER(C169),CHAR(160),"")))*
       (TRIM(SUBSTITUTE(UPPER($D$2:$D169),CHAR(160),""))=TRIM(SUBSTITUTE(UPPER(D169),CHAR(160),"")))*
       (TRIM(SUBSTITUTE(UPPER($E$2:$E169),CHAR(160),""))=TRIM(SUBSTITUTE(UPPER(E169),CHAR(160),"")))
     )
  ),
  0
)</f>
        <v>0</v>
      </c>
      <c r="J169" s="8" cm="1">
        <f t="array" ref="J169">IFERROR(
  IF(D169&lt;&gt;"Catherine",
     0,
     SUMPRODUCT(
       (TRIM(SUBSTITUTE(UPPER($B$2:$B169),CHAR(160),""))=TRIM(SUBSTITUTE(UPPER(B169),CHAR(160),"")))*
       (TRIM(SUBSTITUTE(UPPER($C$2:$C169),CHAR(160),""))=TRIM(SUBSTITUTE(UPPER(C169),CHAR(160),"")))*
       (TRIM(SUBSTITUTE(UPPER($D$2:$D169),CHAR(160),""))=TRIM(SUBSTITUTE(UPPER(D169),CHAR(160),"")))*
       (TRIM(SUBSTITUTE(UPPER($E$2:$E169),CHAR(160),""))=TRIM(SUBSTITUTE(UPPER(E169),CHAR(160),"")))
     )
  ),
  0
)</f>
        <v>0</v>
      </c>
      <c r="K169" s="9">
        <f>IFERROR(
  IF(
    D169&lt;&gt;"Cédric",
    0,
    IF(
      C169="",
      IF(
        COUNTIFS($B$2:B169,B169,$E$2:E169,E169,$D$2:D169,D169)=1,
        INDEX([1]DB!$A:$A,MATCH($E169,[1]DB!$D:$D,0)),
        IF(
          COUNTIFS($B$2:B169,B169,$E$2:E169,E169,$D$2:D169,D169)=2,
          INDEX([1]DB!$B:$B,MATCH($E169,[1]DB!$D:$D,0)),
          INDEX([1]DB!$C:$C,MATCH($E169,[1]DB!$D:$D,0))
        )
      ),
      IF(
        COUNTIFS($C$2:C169,C169,$E$2:E169,E169,$D$2:D169,D169)=1,
        INDEX([1]DB!$A:$A,MATCH($E169,[1]DB!$D:$D,0)),
        IF(
          COUNTIFS($C$2:C169,C169,$E$2:E169,E169,$D$2:D169,D169)=2,
          INDEX([1]DB!$B:$B,MATCH($E169,[1]DB!$D:$D,0)),
          INDEX([1]DB!$C:$C,MATCH($E169,[1]DB!$D:$D,0))
        )
      )
    )
  ),
  0
)</f>
        <v>0</v>
      </c>
      <c r="L169" s="9">
        <f>IFERROR(
  IF(
    D169&lt;&gt;"Geoffroy",
    0,
    IF(
      C169="",
      IF(
        COUNTIFS($B$2:B169,B169,$E$2:E169,E169,$D$2:D169,D169)=1,
        INDEX([1]DB!$A:$A,MATCH($E169,[1]DB!$D:$D,0)),
        IF(
          COUNTIFS($B$2:B169,B169,$E$2:E169,E169,$D$2:D169,D169)=2,
          INDEX([1]DB!$B:$B,MATCH($E169,[1]DB!$D:$D,0)),
          INDEX([1]DB!$C:$C,MATCH($E169,[1]DB!$D:$D,0))
        )
      ),
      IF(
        COUNTIFS($C$2:C169,C169,$E$2:E169,E169,$D$2:D169,D169)=1,
        INDEX([1]DB!$A:$A,MATCH($E169,[1]DB!$D:$D,0)),
        IF(
          COUNTIFS($C$2:C169,C169,$E$2:E169,E169,$D$2:D169,D169)=2,
          INDEX([1]DB!$B:$B,MATCH($E169,[1]DB!$D:$D,0)),
          INDEX([1]DB!$C:$C,MATCH($E169,[1]DB!$D:$D,0))
        )
      )
    )
  ),
  0
)</f>
        <v>0</v>
      </c>
      <c r="M169" s="9">
        <f>IFERROR(
  IF(
    D169&lt;&gt;"Tiphaine",
    0,
    IF(
      C169="",
      IF(
        COUNTIFS($B$2:B169,B169,$E$2:E169,E169,$D$2:D169,D169)=1,
        INDEX([1]DB!$A:$A,MATCH($E169,[1]DB!$D:$D,0)),
        IF(
          COUNTIFS($B$2:B169,B169,$E$2:E169,E169,$D$2:D169,D169)=2,
          INDEX([1]DB!$B:$B,MATCH($E169,[1]DB!$D:$D,0)),
          INDEX([1]DB!$C:$C,MATCH($E169,[1]DB!$D:$D,0))
        )
      ),
      IF(
        COUNTIFS($C$2:C169,C169,$E$2:E169,E169,$D$2:D169,D169)=1,
        INDEX([1]DB!$A:$A,MATCH($E169,[1]DB!$D:$D,0)),
        IF(
          COUNTIFS($C$2:C169,C169,$E$2:E169,E169,$D$2:D169,D169)=2,
          INDEX([1]DB!$B:$B,MATCH($E169,[1]DB!$D:$D,0)),
          INDEX([1]DB!$C:$C,MATCH($E169,[1]DB!$D:$D,0))
        )
      )
    )
  ),
  0
)</f>
        <v>0</v>
      </c>
      <c r="N169" s="9">
        <f>IFERROR(
  IF(
    D169&lt;&gt;"Catherine",
    0,
    IF(
      C169="",
      IF(
        COUNTIFS($B$2:B169,B169,$E$2:E169,E169,$D$2:D169,D169)=1,
        INDEX([1]DB!$A:$A,MATCH($E169,[1]DB!$D:$D,0)),
        IF(
          COUNTIFS($B$2:B169,B169,$E$2:E169,E169,$D$2:D169,D169)=2,
          INDEX([1]DB!$B:$B,MATCH($E169,[1]DB!$D:$D,0)),
          INDEX([1]DB!$C:$C,MATCH($E169,[1]DB!$D:$D,0))
        )
      ),
      IF(
        COUNTIFS($C$2:C169,C169,$E$2:E169,E169,$D$2:D169,D169)=1,
        INDEX([1]DB!$A:$A,MATCH($E169,[1]DB!$D:$D,0)),
        IF(
          COUNTIFS($C$2:C169,C169,$E$2:E169,E169,$D$2:D169,D169)=2,
          INDEX([1]DB!$B:$B,MATCH($E169,[1]DB!$D:$D,0)),
          INDEX([1]DB!$C:$C,MATCH($E169,[1]DB!$D:$D,0))
        )
      )
    )
  ),
  0
)</f>
        <v>0</v>
      </c>
      <c r="O169" s="5" t="str">
        <f>IF(DAY(A169)&lt;=15,UPPER(LEFT(TEXT(A169,"mmmm"),1))&amp;RIGHT(TEXT(A169,"mmmm"),LEN(TEXT(A169,"mmmm"))-1),UPPER(LEFT(TEXT(DATE(YEAR(A169),MONTH(A169)+1,1),"mmmm"),1))&amp;RIGHT(TEXT(DATE(YEAR(A169),MONTH(A169)+1,1),"mmmm"),LEN(TEXT(DATE(YEAR(A169),MONTH(A169)+1,1),"mmmm"))-1))</f>
        <v>Janvier</v>
      </c>
      <c r="P169" s="6" t="str">
        <f ca="1">IF(AND(A169&lt;=TODAY(),F169&lt;&gt;""),"OK","NON")</f>
        <v>NON</v>
      </c>
    </row>
    <row r="170" spans="1:16">
      <c r="A170" s="4"/>
      <c r="B170" s="5"/>
      <c r="C170" s="5"/>
      <c r="D170" s="6"/>
      <c r="E170" s="6"/>
      <c r="F170" s="7"/>
      <c r="G170" s="8" cm="1">
        <f t="array" ref="G170">IFERROR(
  IF(D170&lt;&gt;"Cédric",
     0,
     SUMPRODUCT(
       (TRIM(SUBSTITUTE(UPPER($B$2:$B170),CHAR(160),""))=TRIM(SUBSTITUTE(UPPER(B170),CHAR(160),"")))*
       (TRIM(SUBSTITUTE(UPPER($C$2:$C170),CHAR(160),""))=TRIM(SUBSTITUTE(UPPER(C170),CHAR(160),"")))*
       (TRIM(SUBSTITUTE(UPPER($D$2:$D170),CHAR(160),""))=TRIM(SUBSTITUTE(UPPER(D170),CHAR(160),"")))*
       (TRIM(SUBSTITUTE(UPPER($E$2:$E170),CHAR(160),""))=TRIM(SUBSTITUTE(UPPER(E170),CHAR(160),"")))
     )
  ),
  0
)</f>
        <v>0</v>
      </c>
      <c r="H170" s="8" cm="1">
        <f t="array" ref="H170">IFERROR(
  IF(D170&lt;&gt;"Geoffroy",
     0,
     SUMPRODUCT(
       (TRIM(SUBSTITUTE(UPPER($B$2:$B170),CHAR(160),""))=TRIM(SUBSTITUTE(UPPER(B170),CHAR(160),"")))*
       (TRIM(SUBSTITUTE(UPPER($C$2:$C170),CHAR(160),""))=TRIM(SUBSTITUTE(UPPER(C170),CHAR(160),"")))*
       (TRIM(SUBSTITUTE(UPPER($D$2:$D170),CHAR(160),""))=TRIM(SUBSTITUTE(UPPER(D170),CHAR(160),"")))*
       (TRIM(SUBSTITUTE(UPPER($E$2:$E170),CHAR(160),""))=TRIM(SUBSTITUTE(UPPER(E170),CHAR(160),"")))
     )
  ),
  0
)</f>
        <v>0</v>
      </c>
      <c r="I170" s="8" cm="1">
        <f t="array" ref="I170">IFERROR(
  IF(D170&lt;&gt;"Tiphaine",
     0,
     SUMPRODUCT(
       (TRIM(SUBSTITUTE(UPPER($B$2:$B170),CHAR(160),""))=TRIM(SUBSTITUTE(UPPER(B170),CHAR(160),"")))*
       (TRIM(SUBSTITUTE(UPPER($C$2:$C170),CHAR(160),""))=TRIM(SUBSTITUTE(UPPER(C170),CHAR(160),"")))*
       (TRIM(SUBSTITUTE(UPPER($D$2:$D170),CHAR(160),""))=TRIM(SUBSTITUTE(UPPER(D170),CHAR(160),"")))*
       (TRIM(SUBSTITUTE(UPPER($E$2:$E170),CHAR(160),""))=TRIM(SUBSTITUTE(UPPER(E170),CHAR(160),"")))
     )
  ),
  0
)</f>
        <v>0</v>
      </c>
      <c r="J170" s="8" cm="1">
        <f t="array" ref="J170">IFERROR(
  IF(D170&lt;&gt;"Catherine",
     0,
     SUMPRODUCT(
       (TRIM(SUBSTITUTE(UPPER($B$2:$B170),CHAR(160),""))=TRIM(SUBSTITUTE(UPPER(B170),CHAR(160),"")))*
       (TRIM(SUBSTITUTE(UPPER($C$2:$C170),CHAR(160),""))=TRIM(SUBSTITUTE(UPPER(C170),CHAR(160),"")))*
       (TRIM(SUBSTITUTE(UPPER($D$2:$D170),CHAR(160),""))=TRIM(SUBSTITUTE(UPPER(D170),CHAR(160),"")))*
       (TRIM(SUBSTITUTE(UPPER($E$2:$E170),CHAR(160),""))=TRIM(SUBSTITUTE(UPPER(E170),CHAR(160),"")))
     )
  ),
  0
)</f>
        <v>0</v>
      </c>
      <c r="K170" s="9">
        <f>IFERROR(
  IF(
    D170&lt;&gt;"Cédric",
    0,
    IF(
      C170="",
      IF(
        COUNTIFS($B$2:B170,B170,$E$2:E170,E170,$D$2:D170,D170)=1,
        INDEX([1]DB!$A:$A,MATCH($E170,[1]DB!$D:$D,0)),
        IF(
          COUNTIFS($B$2:B170,B170,$E$2:E170,E170,$D$2:D170,D170)=2,
          INDEX([1]DB!$B:$B,MATCH($E170,[1]DB!$D:$D,0)),
          INDEX([1]DB!$C:$C,MATCH($E170,[1]DB!$D:$D,0))
        )
      ),
      IF(
        COUNTIFS($C$2:C170,C170,$E$2:E170,E170,$D$2:D170,D170)=1,
        INDEX([1]DB!$A:$A,MATCH($E170,[1]DB!$D:$D,0)),
        IF(
          COUNTIFS($C$2:C170,C170,$E$2:E170,E170,$D$2:D170,D170)=2,
          INDEX([1]DB!$B:$B,MATCH($E170,[1]DB!$D:$D,0)),
          INDEX([1]DB!$C:$C,MATCH($E170,[1]DB!$D:$D,0))
        )
      )
    )
  ),
  0
)</f>
        <v>0</v>
      </c>
      <c r="L170" s="9">
        <f>IFERROR(
  IF(
    D170&lt;&gt;"Geoffroy",
    0,
    IF(
      C170="",
      IF(
        COUNTIFS($B$2:B170,B170,$E$2:E170,E170,$D$2:D170,D170)=1,
        INDEX([1]DB!$A:$A,MATCH($E170,[1]DB!$D:$D,0)),
        IF(
          COUNTIFS($B$2:B170,B170,$E$2:E170,E170,$D$2:D170,D170)=2,
          INDEX([1]DB!$B:$B,MATCH($E170,[1]DB!$D:$D,0)),
          INDEX([1]DB!$C:$C,MATCH($E170,[1]DB!$D:$D,0))
        )
      ),
      IF(
        COUNTIFS($C$2:C170,C170,$E$2:E170,E170,$D$2:D170,D170)=1,
        INDEX([1]DB!$A:$A,MATCH($E170,[1]DB!$D:$D,0)),
        IF(
          COUNTIFS($C$2:C170,C170,$E$2:E170,E170,$D$2:D170,D170)=2,
          INDEX([1]DB!$B:$B,MATCH($E170,[1]DB!$D:$D,0)),
          INDEX([1]DB!$C:$C,MATCH($E170,[1]DB!$D:$D,0))
        )
      )
    )
  ),
  0
)</f>
        <v>0</v>
      </c>
      <c r="M170" s="9">
        <f>IFERROR(
  IF(
    D170&lt;&gt;"Tiphaine",
    0,
    IF(
      C170="",
      IF(
        COUNTIFS($B$2:B170,B170,$E$2:E170,E170,$D$2:D170,D170)=1,
        INDEX([1]DB!$A:$A,MATCH($E170,[1]DB!$D:$D,0)),
        IF(
          COUNTIFS($B$2:B170,B170,$E$2:E170,E170,$D$2:D170,D170)=2,
          INDEX([1]DB!$B:$B,MATCH($E170,[1]DB!$D:$D,0)),
          INDEX([1]DB!$C:$C,MATCH($E170,[1]DB!$D:$D,0))
        )
      ),
      IF(
        COUNTIFS($C$2:C170,C170,$E$2:E170,E170,$D$2:D170,D170)=1,
        INDEX([1]DB!$A:$A,MATCH($E170,[1]DB!$D:$D,0)),
        IF(
          COUNTIFS($C$2:C170,C170,$E$2:E170,E170,$D$2:D170,D170)=2,
          INDEX([1]DB!$B:$B,MATCH($E170,[1]DB!$D:$D,0)),
          INDEX([1]DB!$C:$C,MATCH($E170,[1]DB!$D:$D,0))
        )
      )
    )
  ),
  0
)</f>
        <v>0</v>
      </c>
      <c r="N170" s="9">
        <f>IFERROR(
  IF(
    D170&lt;&gt;"Catherine",
    0,
    IF(
      C170="",
      IF(
        COUNTIFS($B$2:B170,B170,$E$2:E170,E170,$D$2:D170,D170)=1,
        INDEX([1]DB!$A:$A,MATCH($E170,[1]DB!$D:$D,0)),
        IF(
          COUNTIFS($B$2:B170,B170,$E$2:E170,E170,$D$2:D170,D170)=2,
          INDEX([1]DB!$B:$B,MATCH($E170,[1]DB!$D:$D,0)),
          INDEX([1]DB!$C:$C,MATCH($E170,[1]DB!$D:$D,0))
        )
      ),
      IF(
        COUNTIFS($C$2:C170,C170,$E$2:E170,E170,$D$2:D170,D170)=1,
        INDEX([1]DB!$A:$A,MATCH($E170,[1]DB!$D:$D,0)),
        IF(
          COUNTIFS($C$2:C170,C170,$E$2:E170,E170,$D$2:D170,D170)=2,
          INDEX([1]DB!$B:$B,MATCH($E170,[1]DB!$D:$D,0)),
          INDEX([1]DB!$C:$C,MATCH($E170,[1]DB!$D:$D,0))
        )
      )
    )
  ),
  0
)</f>
        <v>0</v>
      </c>
      <c r="O170" s="5" t="str">
        <f>IF(DAY(A170)&lt;=15,UPPER(LEFT(TEXT(A170,"mmmm"),1))&amp;RIGHT(TEXT(A170,"mmmm"),LEN(TEXT(A170,"mmmm"))-1),UPPER(LEFT(TEXT(DATE(YEAR(A170),MONTH(A170)+1,1),"mmmm"),1))&amp;RIGHT(TEXT(DATE(YEAR(A170),MONTH(A170)+1,1),"mmmm"),LEN(TEXT(DATE(YEAR(A170),MONTH(A170)+1,1),"mmmm"))-1))</f>
        <v>Janvier</v>
      </c>
      <c r="P170" s="6" t="str">
        <f ca="1">IF(AND(A170&lt;=TODAY(),F170&lt;&gt;""),"OK","NON")</f>
        <v>NON</v>
      </c>
    </row>
    <row r="171" spans="1:16">
      <c r="A171" s="4"/>
      <c r="B171" s="5"/>
      <c r="C171" s="5"/>
      <c r="D171" s="6"/>
      <c r="E171" s="6"/>
      <c r="F171" s="7"/>
      <c r="G171" s="8" cm="1">
        <f t="array" ref="G171">IFERROR(
  IF(D171&lt;&gt;"Cédric",
     0,
     SUMPRODUCT(
       (TRIM(SUBSTITUTE(UPPER($B$2:$B171),CHAR(160),""))=TRIM(SUBSTITUTE(UPPER(B171),CHAR(160),"")))*
       (TRIM(SUBSTITUTE(UPPER($C$2:$C171),CHAR(160),""))=TRIM(SUBSTITUTE(UPPER(C171),CHAR(160),"")))*
       (TRIM(SUBSTITUTE(UPPER($D$2:$D171),CHAR(160),""))=TRIM(SUBSTITUTE(UPPER(D171),CHAR(160),"")))*
       (TRIM(SUBSTITUTE(UPPER($E$2:$E171),CHAR(160),""))=TRIM(SUBSTITUTE(UPPER(E171),CHAR(160),"")))
     )
  ),
  0
)</f>
        <v>0</v>
      </c>
      <c r="H171" s="8" cm="1">
        <f t="array" ref="H171">IFERROR(
  IF(D171&lt;&gt;"Geoffroy",
     0,
     SUMPRODUCT(
       (TRIM(SUBSTITUTE(UPPER($B$2:$B171),CHAR(160),""))=TRIM(SUBSTITUTE(UPPER(B171),CHAR(160),"")))*
       (TRIM(SUBSTITUTE(UPPER($C$2:$C171),CHAR(160),""))=TRIM(SUBSTITUTE(UPPER(C171),CHAR(160),"")))*
       (TRIM(SUBSTITUTE(UPPER($D$2:$D171),CHAR(160),""))=TRIM(SUBSTITUTE(UPPER(D171),CHAR(160),"")))*
       (TRIM(SUBSTITUTE(UPPER($E$2:$E171),CHAR(160),""))=TRIM(SUBSTITUTE(UPPER(E171),CHAR(160),"")))
     )
  ),
  0
)</f>
        <v>0</v>
      </c>
      <c r="I171" s="8" cm="1">
        <f t="array" ref="I171">IFERROR(
  IF(D171&lt;&gt;"Tiphaine",
     0,
     SUMPRODUCT(
       (TRIM(SUBSTITUTE(UPPER($B$2:$B171),CHAR(160),""))=TRIM(SUBSTITUTE(UPPER(B171),CHAR(160),"")))*
       (TRIM(SUBSTITUTE(UPPER($C$2:$C171),CHAR(160),""))=TRIM(SUBSTITUTE(UPPER(C171),CHAR(160),"")))*
       (TRIM(SUBSTITUTE(UPPER($D$2:$D171),CHAR(160),""))=TRIM(SUBSTITUTE(UPPER(D171),CHAR(160),"")))*
       (TRIM(SUBSTITUTE(UPPER($E$2:$E171),CHAR(160),""))=TRIM(SUBSTITUTE(UPPER(E171),CHAR(160),"")))
     )
  ),
  0
)</f>
        <v>0</v>
      </c>
      <c r="J171" s="8" cm="1">
        <f t="array" ref="J171">IFERROR(
  IF(D171&lt;&gt;"Catherine",
     0,
     SUMPRODUCT(
       (TRIM(SUBSTITUTE(UPPER($B$2:$B171),CHAR(160),""))=TRIM(SUBSTITUTE(UPPER(B171),CHAR(160),"")))*
       (TRIM(SUBSTITUTE(UPPER($C$2:$C171),CHAR(160),""))=TRIM(SUBSTITUTE(UPPER(C171),CHAR(160),"")))*
       (TRIM(SUBSTITUTE(UPPER($D$2:$D171),CHAR(160),""))=TRIM(SUBSTITUTE(UPPER(D171),CHAR(160),"")))*
       (TRIM(SUBSTITUTE(UPPER($E$2:$E171),CHAR(160),""))=TRIM(SUBSTITUTE(UPPER(E171),CHAR(160),"")))
     )
  ),
  0
)</f>
        <v>0</v>
      </c>
      <c r="K171" s="9">
        <f>IFERROR(
  IF(
    D171&lt;&gt;"Cédric",
    0,
    IF(
      C171="",
      IF(
        COUNTIFS($B$2:B171,B171,$E$2:E171,E171,$D$2:D171,D171)=1,
        INDEX([1]DB!$A:$A,MATCH($E171,[1]DB!$D:$D,0)),
        IF(
          COUNTIFS($B$2:B171,B171,$E$2:E171,E171,$D$2:D171,D171)=2,
          INDEX([1]DB!$B:$B,MATCH($E171,[1]DB!$D:$D,0)),
          INDEX([1]DB!$C:$C,MATCH($E171,[1]DB!$D:$D,0))
        )
      ),
      IF(
        COUNTIFS($C$2:C171,C171,$E$2:E171,E171,$D$2:D171,D171)=1,
        INDEX([1]DB!$A:$A,MATCH($E171,[1]DB!$D:$D,0)),
        IF(
          COUNTIFS($C$2:C171,C171,$E$2:E171,E171,$D$2:D171,D171)=2,
          INDEX([1]DB!$B:$B,MATCH($E171,[1]DB!$D:$D,0)),
          INDEX([1]DB!$C:$C,MATCH($E171,[1]DB!$D:$D,0))
        )
      )
    )
  ),
  0
)</f>
        <v>0</v>
      </c>
      <c r="L171" s="9">
        <f>IFERROR(
  IF(
    D171&lt;&gt;"Geoffroy",
    0,
    IF(
      C171="",
      IF(
        COUNTIFS($B$2:B171,B171,$E$2:E171,E171,$D$2:D171,D171)=1,
        INDEX([1]DB!$A:$A,MATCH($E171,[1]DB!$D:$D,0)),
        IF(
          COUNTIFS($B$2:B171,B171,$E$2:E171,E171,$D$2:D171,D171)=2,
          INDEX([1]DB!$B:$B,MATCH($E171,[1]DB!$D:$D,0)),
          INDEX([1]DB!$C:$C,MATCH($E171,[1]DB!$D:$D,0))
        )
      ),
      IF(
        COUNTIFS($C$2:C171,C171,$E$2:E171,E171,$D$2:D171,D171)=1,
        INDEX([1]DB!$A:$A,MATCH($E171,[1]DB!$D:$D,0)),
        IF(
          COUNTIFS($C$2:C171,C171,$E$2:E171,E171,$D$2:D171,D171)=2,
          INDEX([1]DB!$B:$B,MATCH($E171,[1]DB!$D:$D,0)),
          INDEX([1]DB!$C:$C,MATCH($E171,[1]DB!$D:$D,0))
        )
      )
    )
  ),
  0
)</f>
        <v>0</v>
      </c>
      <c r="M171" s="9">
        <f>IFERROR(
  IF(
    D171&lt;&gt;"Tiphaine",
    0,
    IF(
      C171="",
      IF(
        COUNTIFS($B$2:B171,B171,$E$2:E171,E171,$D$2:D171,D171)=1,
        INDEX([1]DB!$A:$A,MATCH($E171,[1]DB!$D:$D,0)),
        IF(
          COUNTIFS($B$2:B171,B171,$E$2:E171,E171,$D$2:D171,D171)=2,
          INDEX([1]DB!$B:$B,MATCH($E171,[1]DB!$D:$D,0)),
          INDEX([1]DB!$C:$C,MATCH($E171,[1]DB!$D:$D,0))
        )
      ),
      IF(
        COUNTIFS($C$2:C171,C171,$E$2:E171,E171,$D$2:D171,D171)=1,
        INDEX([1]DB!$A:$A,MATCH($E171,[1]DB!$D:$D,0)),
        IF(
          COUNTIFS($C$2:C171,C171,$E$2:E171,E171,$D$2:D171,D171)=2,
          INDEX([1]DB!$B:$B,MATCH($E171,[1]DB!$D:$D,0)),
          INDEX([1]DB!$C:$C,MATCH($E171,[1]DB!$D:$D,0))
        )
      )
    )
  ),
  0
)</f>
        <v>0</v>
      </c>
      <c r="N171" s="9">
        <f>IFERROR(
  IF(
    D171&lt;&gt;"Catherine",
    0,
    IF(
      C171="",
      IF(
        COUNTIFS($B$2:B171,B171,$E$2:E171,E171,$D$2:D171,D171)=1,
        INDEX([1]DB!$A:$A,MATCH($E171,[1]DB!$D:$D,0)),
        IF(
          COUNTIFS($B$2:B171,B171,$E$2:E171,E171,$D$2:D171,D171)=2,
          INDEX([1]DB!$B:$B,MATCH($E171,[1]DB!$D:$D,0)),
          INDEX([1]DB!$C:$C,MATCH($E171,[1]DB!$D:$D,0))
        )
      ),
      IF(
        COUNTIFS($C$2:C171,C171,$E$2:E171,E171,$D$2:D171,D171)=1,
        INDEX([1]DB!$A:$A,MATCH($E171,[1]DB!$D:$D,0)),
        IF(
          COUNTIFS($C$2:C171,C171,$E$2:E171,E171,$D$2:D171,D171)=2,
          INDEX([1]DB!$B:$B,MATCH($E171,[1]DB!$D:$D,0)),
          INDEX([1]DB!$C:$C,MATCH($E171,[1]DB!$D:$D,0))
        )
      )
    )
  ),
  0
)</f>
        <v>0</v>
      </c>
      <c r="O171" s="5" t="str">
        <f>IF(DAY(A171)&lt;=15,UPPER(LEFT(TEXT(A171,"mmmm"),1))&amp;RIGHT(TEXT(A171,"mmmm"),LEN(TEXT(A171,"mmmm"))-1),UPPER(LEFT(TEXT(DATE(YEAR(A171),MONTH(A171)+1,1),"mmmm"),1))&amp;RIGHT(TEXT(DATE(YEAR(A171),MONTH(A171)+1,1),"mmmm"),LEN(TEXT(DATE(YEAR(A171),MONTH(A171)+1,1),"mmmm"))-1))</f>
        <v>Janvier</v>
      </c>
      <c r="P171" s="6" t="str">
        <f ca="1">IF(AND(A171&lt;=TODAY(),F171&lt;&gt;""),"OK","NON")</f>
        <v>NON</v>
      </c>
    </row>
    <row r="172" spans="1:16">
      <c r="A172" s="4"/>
      <c r="B172" s="5"/>
      <c r="C172" s="5"/>
      <c r="D172" s="6"/>
      <c r="E172" s="6"/>
      <c r="F172" s="7"/>
      <c r="G172" s="8" cm="1">
        <f t="array" ref="G172">IFERROR(
  IF(D172&lt;&gt;"Cédric",
     0,
     SUMPRODUCT(
       (TRIM(SUBSTITUTE(UPPER($B$2:$B172),CHAR(160),""))=TRIM(SUBSTITUTE(UPPER(B172),CHAR(160),"")))*
       (TRIM(SUBSTITUTE(UPPER($C$2:$C172),CHAR(160),""))=TRIM(SUBSTITUTE(UPPER(C172),CHAR(160),"")))*
       (TRIM(SUBSTITUTE(UPPER($D$2:$D172),CHAR(160),""))=TRIM(SUBSTITUTE(UPPER(D172),CHAR(160),"")))*
       (TRIM(SUBSTITUTE(UPPER($E$2:$E172),CHAR(160),""))=TRIM(SUBSTITUTE(UPPER(E172),CHAR(160),"")))
     )
  ),
  0
)</f>
        <v>0</v>
      </c>
      <c r="H172" s="8" cm="1">
        <f t="array" ref="H172">IFERROR(
  IF(D172&lt;&gt;"Geoffroy",
     0,
     SUMPRODUCT(
       (TRIM(SUBSTITUTE(UPPER($B$2:$B172),CHAR(160),""))=TRIM(SUBSTITUTE(UPPER(B172),CHAR(160),"")))*
       (TRIM(SUBSTITUTE(UPPER($C$2:$C172),CHAR(160),""))=TRIM(SUBSTITUTE(UPPER(C172),CHAR(160),"")))*
       (TRIM(SUBSTITUTE(UPPER($D$2:$D172),CHAR(160),""))=TRIM(SUBSTITUTE(UPPER(D172),CHAR(160),"")))*
       (TRIM(SUBSTITUTE(UPPER($E$2:$E172),CHAR(160),""))=TRIM(SUBSTITUTE(UPPER(E172),CHAR(160),"")))
     )
  ),
  0
)</f>
        <v>0</v>
      </c>
      <c r="I172" s="8" cm="1">
        <f t="array" ref="I172">IFERROR(
  IF(D172&lt;&gt;"Tiphaine",
     0,
     SUMPRODUCT(
       (TRIM(SUBSTITUTE(UPPER($B$2:$B172),CHAR(160),""))=TRIM(SUBSTITUTE(UPPER(B172),CHAR(160),"")))*
       (TRIM(SUBSTITUTE(UPPER($C$2:$C172),CHAR(160),""))=TRIM(SUBSTITUTE(UPPER(C172),CHAR(160),"")))*
       (TRIM(SUBSTITUTE(UPPER($D$2:$D172),CHAR(160),""))=TRIM(SUBSTITUTE(UPPER(D172),CHAR(160),"")))*
       (TRIM(SUBSTITUTE(UPPER($E$2:$E172),CHAR(160),""))=TRIM(SUBSTITUTE(UPPER(E172),CHAR(160),"")))
     )
  ),
  0
)</f>
        <v>0</v>
      </c>
      <c r="J172" s="8" cm="1">
        <f t="array" ref="J172">IFERROR(
  IF(D172&lt;&gt;"Catherine",
     0,
     SUMPRODUCT(
       (TRIM(SUBSTITUTE(UPPER($B$2:$B172),CHAR(160),""))=TRIM(SUBSTITUTE(UPPER(B172),CHAR(160),"")))*
       (TRIM(SUBSTITUTE(UPPER($C$2:$C172),CHAR(160),""))=TRIM(SUBSTITUTE(UPPER(C172),CHAR(160),"")))*
       (TRIM(SUBSTITUTE(UPPER($D$2:$D172),CHAR(160),""))=TRIM(SUBSTITUTE(UPPER(D172),CHAR(160),"")))*
       (TRIM(SUBSTITUTE(UPPER($E$2:$E172),CHAR(160),""))=TRIM(SUBSTITUTE(UPPER(E172),CHAR(160),"")))
     )
  ),
  0
)</f>
        <v>0</v>
      </c>
      <c r="K172" s="9">
        <f>IFERROR(
  IF(
    D172&lt;&gt;"Cédric",
    0,
    IF(
      C172="",
      IF(
        COUNTIFS($B$2:B172,B172,$E$2:E172,E172,$D$2:D172,D172)=1,
        INDEX([1]DB!$A:$A,MATCH($E172,[1]DB!$D:$D,0)),
        IF(
          COUNTIFS($B$2:B172,B172,$E$2:E172,E172,$D$2:D172,D172)=2,
          INDEX([1]DB!$B:$B,MATCH($E172,[1]DB!$D:$D,0)),
          INDEX([1]DB!$C:$C,MATCH($E172,[1]DB!$D:$D,0))
        )
      ),
      IF(
        COUNTIFS($C$2:C172,C172,$E$2:E172,E172,$D$2:D172,D172)=1,
        INDEX([1]DB!$A:$A,MATCH($E172,[1]DB!$D:$D,0)),
        IF(
          COUNTIFS($C$2:C172,C172,$E$2:E172,E172,$D$2:D172,D172)=2,
          INDEX([1]DB!$B:$B,MATCH($E172,[1]DB!$D:$D,0)),
          INDEX([1]DB!$C:$C,MATCH($E172,[1]DB!$D:$D,0))
        )
      )
    )
  ),
  0
)</f>
        <v>0</v>
      </c>
      <c r="L172" s="9">
        <f>IFERROR(
  IF(
    D172&lt;&gt;"Geoffroy",
    0,
    IF(
      C172="",
      IF(
        COUNTIFS($B$2:B172,B172,$E$2:E172,E172,$D$2:D172,D172)=1,
        INDEX([1]DB!$A:$A,MATCH($E172,[1]DB!$D:$D,0)),
        IF(
          COUNTIFS($B$2:B172,B172,$E$2:E172,E172,$D$2:D172,D172)=2,
          INDEX([1]DB!$B:$B,MATCH($E172,[1]DB!$D:$D,0)),
          INDEX([1]DB!$C:$C,MATCH($E172,[1]DB!$D:$D,0))
        )
      ),
      IF(
        COUNTIFS($C$2:C172,C172,$E$2:E172,E172,$D$2:D172,D172)=1,
        INDEX([1]DB!$A:$A,MATCH($E172,[1]DB!$D:$D,0)),
        IF(
          COUNTIFS($C$2:C172,C172,$E$2:E172,E172,$D$2:D172,D172)=2,
          INDEX([1]DB!$B:$B,MATCH($E172,[1]DB!$D:$D,0)),
          INDEX([1]DB!$C:$C,MATCH($E172,[1]DB!$D:$D,0))
        )
      )
    )
  ),
  0
)</f>
        <v>0</v>
      </c>
      <c r="M172" s="9">
        <f>IFERROR(
  IF(
    D172&lt;&gt;"Tiphaine",
    0,
    IF(
      C172="",
      IF(
        COUNTIFS($B$2:B172,B172,$E$2:E172,E172,$D$2:D172,D172)=1,
        INDEX([1]DB!$A:$A,MATCH($E172,[1]DB!$D:$D,0)),
        IF(
          COUNTIFS($B$2:B172,B172,$E$2:E172,E172,$D$2:D172,D172)=2,
          INDEX([1]DB!$B:$B,MATCH($E172,[1]DB!$D:$D,0)),
          INDEX([1]DB!$C:$C,MATCH($E172,[1]DB!$D:$D,0))
        )
      ),
      IF(
        COUNTIFS($C$2:C172,C172,$E$2:E172,E172,$D$2:D172,D172)=1,
        INDEX([1]DB!$A:$A,MATCH($E172,[1]DB!$D:$D,0)),
        IF(
          COUNTIFS($C$2:C172,C172,$E$2:E172,E172,$D$2:D172,D172)=2,
          INDEX([1]DB!$B:$B,MATCH($E172,[1]DB!$D:$D,0)),
          INDEX([1]DB!$C:$C,MATCH($E172,[1]DB!$D:$D,0))
        )
      )
    )
  ),
  0
)</f>
        <v>0</v>
      </c>
      <c r="N172" s="9">
        <f>IFERROR(
  IF(
    D172&lt;&gt;"Catherine",
    0,
    IF(
      C172="",
      IF(
        COUNTIFS($B$2:B172,B172,$E$2:E172,E172,$D$2:D172,D172)=1,
        INDEX([1]DB!$A:$A,MATCH($E172,[1]DB!$D:$D,0)),
        IF(
          COUNTIFS($B$2:B172,B172,$E$2:E172,E172,$D$2:D172,D172)=2,
          INDEX([1]DB!$B:$B,MATCH($E172,[1]DB!$D:$D,0)),
          INDEX([1]DB!$C:$C,MATCH($E172,[1]DB!$D:$D,0))
        )
      ),
      IF(
        COUNTIFS($C$2:C172,C172,$E$2:E172,E172,$D$2:D172,D172)=1,
        INDEX([1]DB!$A:$A,MATCH($E172,[1]DB!$D:$D,0)),
        IF(
          COUNTIFS($C$2:C172,C172,$E$2:E172,E172,$D$2:D172,D172)=2,
          INDEX([1]DB!$B:$B,MATCH($E172,[1]DB!$D:$D,0)),
          INDEX([1]DB!$C:$C,MATCH($E172,[1]DB!$D:$D,0))
        )
      )
    )
  ),
  0
)</f>
        <v>0</v>
      </c>
      <c r="O172" s="5" t="str">
        <f>IF(DAY(A172)&lt;=15,UPPER(LEFT(TEXT(A172,"mmmm"),1))&amp;RIGHT(TEXT(A172,"mmmm"),LEN(TEXT(A172,"mmmm"))-1),UPPER(LEFT(TEXT(DATE(YEAR(A172),MONTH(A172)+1,1),"mmmm"),1))&amp;RIGHT(TEXT(DATE(YEAR(A172),MONTH(A172)+1,1),"mmmm"),LEN(TEXT(DATE(YEAR(A172),MONTH(A172)+1,1),"mmmm"))-1))</f>
        <v>Janvier</v>
      </c>
      <c r="P172" s="6" t="str">
        <f ca="1">IF(AND(A172&lt;=TODAY(),F172&lt;&gt;""),"OK","NON")</f>
        <v>NON</v>
      </c>
    </row>
    <row r="173" spans="1:16">
      <c r="A173" s="4"/>
      <c r="B173" s="5"/>
      <c r="C173" s="5"/>
      <c r="D173" s="6"/>
      <c r="E173" s="6"/>
      <c r="F173" s="7"/>
      <c r="G173" s="8" cm="1">
        <f t="array" ref="G173">IFERROR(
  IF(D173&lt;&gt;"Cédric",
     0,
     SUMPRODUCT(
       (TRIM(SUBSTITUTE(UPPER($B$2:$B173),CHAR(160),""))=TRIM(SUBSTITUTE(UPPER(B173),CHAR(160),"")))*
       (TRIM(SUBSTITUTE(UPPER($C$2:$C173),CHAR(160),""))=TRIM(SUBSTITUTE(UPPER(C173),CHAR(160),"")))*
       (TRIM(SUBSTITUTE(UPPER($D$2:$D173),CHAR(160),""))=TRIM(SUBSTITUTE(UPPER(D173),CHAR(160),"")))*
       (TRIM(SUBSTITUTE(UPPER($E$2:$E173),CHAR(160),""))=TRIM(SUBSTITUTE(UPPER(E173),CHAR(160),"")))
     )
  ),
  0
)</f>
        <v>0</v>
      </c>
      <c r="H173" s="8" cm="1">
        <f t="array" ref="H173">IFERROR(
  IF(D173&lt;&gt;"Geoffroy",
     0,
     SUMPRODUCT(
       (TRIM(SUBSTITUTE(UPPER($B$2:$B173),CHAR(160),""))=TRIM(SUBSTITUTE(UPPER(B173),CHAR(160),"")))*
       (TRIM(SUBSTITUTE(UPPER($C$2:$C173),CHAR(160),""))=TRIM(SUBSTITUTE(UPPER(C173),CHAR(160),"")))*
       (TRIM(SUBSTITUTE(UPPER($D$2:$D173),CHAR(160),""))=TRIM(SUBSTITUTE(UPPER(D173),CHAR(160),"")))*
       (TRIM(SUBSTITUTE(UPPER($E$2:$E173),CHAR(160),""))=TRIM(SUBSTITUTE(UPPER(E173),CHAR(160),"")))
     )
  ),
  0
)</f>
        <v>0</v>
      </c>
      <c r="I173" s="8" cm="1">
        <f t="array" ref="I173">IFERROR(
  IF(D173&lt;&gt;"Tiphaine",
     0,
     SUMPRODUCT(
       (TRIM(SUBSTITUTE(UPPER($B$2:$B173),CHAR(160),""))=TRIM(SUBSTITUTE(UPPER(B173),CHAR(160),"")))*
       (TRIM(SUBSTITUTE(UPPER($C$2:$C173),CHAR(160),""))=TRIM(SUBSTITUTE(UPPER(C173),CHAR(160),"")))*
       (TRIM(SUBSTITUTE(UPPER($D$2:$D173),CHAR(160),""))=TRIM(SUBSTITUTE(UPPER(D173),CHAR(160),"")))*
       (TRIM(SUBSTITUTE(UPPER($E$2:$E173),CHAR(160),""))=TRIM(SUBSTITUTE(UPPER(E173),CHAR(160),"")))
     )
  ),
  0
)</f>
        <v>0</v>
      </c>
      <c r="J173" s="8" cm="1">
        <f t="array" ref="J173">IFERROR(
  IF(D173&lt;&gt;"Catherine",
     0,
     SUMPRODUCT(
       (TRIM(SUBSTITUTE(UPPER($B$2:$B173),CHAR(160),""))=TRIM(SUBSTITUTE(UPPER(B173),CHAR(160),"")))*
       (TRIM(SUBSTITUTE(UPPER($C$2:$C173),CHAR(160),""))=TRIM(SUBSTITUTE(UPPER(C173),CHAR(160),"")))*
       (TRIM(SUBSTITUTE(UPPER($D$2:$D173),CHAR(160),""))=TRIM(SUBSTITUTE(UPPER(D173),CHAR(160),"")))*
       (TRIM(SUBSTITUTE(UPPER($E$2:$E173),CHAR(160),""))=TRIM(SUBSTITUTE(UPPER(E173),CHAR(160),"")))
     )
  ),
  0
)</f>
        <v>0</v>
      </c>
      <c r="K173" s="9">
        <f>IFERROR(
  IF(
    D173&lt;&gt;"Cédric",
    0,
    IF(
      C173="",
      IF(
        COUNTIFS($B$2:B173,B173,$E$2:E173,E173,$D$2:D173,D173)=1,
        INDEX([1]DB!$A:$A,MATCH($E173,[1]DB!$D:$D,0)),
        IF(
          COUNTIFS($B$2:B173,B173,$E$2:E173,E173,$D$2:D173,D173)=2,
          INDEX([1]DB!$B:$B,MATCH($E173,[1]DB!$D:$D,0)),
          INDEX([1]DB!$C:$C,MATCH($E173,[1]DB!$D:$D,0))
        )
      ),
      IF(
        COUNTIFS($C$2:C173,C173,$E$2:E173,E173,$D$2:D173,D173)=1,
        INDEX([1]DB!$A:$A,MATCH($E173,[1]DB!$D:$D,0)),
        IF(
          COUNTIFS($C$2:C173,C173,$E$2:E173,E173,$D$2:D173,D173)=2,
          INDEX([1]DB!$B:$B,MATCH($E173,[1]DB!$D:$D,0)),
          INDEX([1]DB!$C:$C,MATCH($E173,[1]DB!$D:$D,0))
        )
      )
    )
  ),
  0
)</f>
        <v>0</v>
      </c>
      <c r="L173" s="9">
        <f>IFERROR(
  IF(
    D173&lt;&gt;"Geoffroy",
    0,
    IF(
      C173="",
      IF(
        COUNTIFS($B$2:B173,B173,$E$2:E173,E173,$D$2:D173,D173)=1,
        INDEX([1]DB!$A:$A,MATCH($E173,[1]DB!$D:$D,0)),
        IF(
          COUNTIFS($B$2:B173,B173,$E$2:E173,E173,$D$2:D173,D173)=2,
          INDEX([1]DB!$B:$B,MATCH($E173,[1]DB!$D:$D,0)),
          INDEX([1]DB!$C:$C,MATCH($E173,[1]DB!$D:$D,0))
        )
      ),
      IF(
        COUNTIFS($C$2:C173,C173,$E$2:E173,E173,$D$2:D173,D173)=1,
        INDEX([1]DB!$A:$A,MATCH($E173,[1]DB!$D:$D,0)),
        IF(
          COUNTIFS($C$2:C173,C173,$E$2:E173,E173,$D$2:D173,D173)=2,
          INDEX([1]DB!$B:$B,MATCH($E173,[1]DB!$D:$D,0)),
          INDEX([1]DB!$C:$C,MATCH($E173,[1]DB!$D:$D,0))
        )
      )
    )
  ),
  0
)</f>
        <v>0</v>
      </c>
      <c r="M173" s="9">
        <f>IFERROR(
  IF(
    D173&lt;&gt;"Tiphaine",
    0,
    IF(
      C173="",
      IF(
        COUNTIFS($B$2:B173,B173,$E$2:E173,E173,$D$2:D173,D173)=1,
        INDEX([1]DB!$A:$A,MATCH($E173,[1]DB!$D:$D,0)),
        IF(
          COUNTIFS($B$2:B173,B173,$E$2:E173,E173,$D$2:D173,D173)=2,
          INDEX([1]DB!$B:$B,MATCH($E173,[1]DB!$D:$D,0)),
          INDEX([1]DB!$C:$C,MATCH($E173,[1]DB!$D:$D,0))
        )
      ),
      IF(
        COUNTIFS($C$2:C173,C173,$E$2:E173,E173,$D$2:D173,D173)=1,
        INDEX([1]DB!$A:$A,MATCH($E173,[1]DB!$D:$D,0)),
        IF(
          COUNTIFS($C$2:C173,C173,$E$2:E173,E173,$D$2:D173,D173)=2,
          INDEX([1]DB!$B:$B,MATCH($E173,[1]DB!$D:$D,0)),
          INDEX([1]DB!$C:$C,MATCH($E173,[1]DB!$D:$D,0))
        )
      )
    )
  ),
  0
)</f>
        <v>0</v>
      </c>
      <c r="N173" s="9">
        <f>IFERROR(
  IF(
    D173&lt;&gt;"Catherine",
    0,
    IF(
      C173="",
      IF(
        COUNTIFS($B$2:B173,B173,$E$2:E173,E173,$D$2:D173,D173)=1,
        INDEX([1]DB!$A:$A,MATCH($E173,[1]DB!$D:$D,0)),
        IF(
          COUNTIFS($B$2:B173,B173,$E$2:E173,E173,$D$2:D173,D173)=2,
          INDEX([1]DB!$B:$B,MATCH($E173,[1]DB!$D:$D,0)),
          INDEX([1]DB!$C:$C,MATCH($E173,[1]DB!$D:$D,0))
        )
      ),
      IF(
        COUNTIFS($C$2:C173,C173,$E$2:E173,E173,$D$2:D173,D173)=1,
        INDEX([1]DB!$A:$A,MATCH($E173,[1]DB!$D:$D,0)),
        IF(
          COUNTIFS($C$2:C173,C173,$E$2:E173,E173,$D$2:D173,D173)=2,
          INDEX([1]DB!$B:$B,MATCH($E173,[1]DB!$D:$D,0)),
          INDEX([1]DB!$C:$C,MATCH($E173,[1]DB!$D:$D,0))
        )
      )
    )
  ),
  0
)</f>
        <v>0</v>
      </c>
      <c r="O173" s="5" t="str">
        <f>IF(DAY(A173)&lt;=15,UPPER(LEFT(TEXT(A173,"mmmm"),1))&amp;RIGHT(TEXT(A173,"mmmm"),LEN(TEXT(A173,"mmmm"))-1),UPPER(LEFT(TEXT(DATE(YEAR(A173),MONTH(A173)+1,1),"mmmm"),1))&amp;RIGHT(TEXT(DATE(YEAR(A173),MONTH(A173)+1,1),"mmmm"),LEN(TEXT(DATE(YEAR(A173),MONTH(A173)+1,1),"mmmm"))-1))</f>
        <v>Janvier</v>
      </c>
      <c r="P173" s="6" t="str">
        <f ca="1">IF(AND(A173&lt;=TODAY(),F173&lt;&gt;""),"OK","NON")</f>
        <v>NON</v>
      </c>
    </row>
    <row r="174" spans="1:16">
      <c r="A174" s="4"/>
      <c r="B174" s="5"/>
      <c r="C174" s="5"/>
      <c r="D174" s="6"/>
      <c r="E174" s="6"/>
      <c r="F174" s="7"/>
      <c r="G174" s="8" cm="1">
        <f t="array" ref="G174">IFERROR(
  IF(D174&lt;&gt;"Cédric",
     0,
     SUMPRODUCT(
       (TRIM(SUBSTITUTE(UPPER($B$2:$B174),CHAR(160),""))=TRIM(SUBSTITUTE(UPPER(B174),CHAR(160),"")))*
       (TRIM(SUBSTITUTE(UPPER($C$2:$C174),CHAR(160),""))=TRIM(SUBSTITUTE(UPPER(C174),CHAR(160),"")))*
       (TRIM(SUBSTITUTE(UPPER($D$2:$D174),CHAR(160),""))=TRIM(SUBSTITUTE(UPPER(D174),CHAR(160),"")))*
       (TRIM(SUBSTITUTE(UPPER($E$2:$E174),CHAR(160),""))=TRIM(SUBSTITUTE(UPPER(E174),CHAR(160),"")))
     )
  ),
  0
)</f>
        <v>0</v>
      </c>
      <c r="H174" s="8" cm="1">
        <f t="array" ref="H174">IFERROR(
  IF(D174&lt;&gt;"Geoffroy",
     0,
     SUMPRODUCT(
       (TRIM(SUBSTITUTE(UPPER($B$2:$B174),CHAR(160),""))=TRIM(SUBSTITUTE(UPPER(B174),CHAR(160),"")))*
       (TRIM(SUBSTITUTE(UPPER($C$2:$C174),CHAR(160),""))=TRIM(SUBSTITUTE(UPPER(C174),CHAR(160),"")))*
       (TRIM(SUBSTITUTE(UPPER($D$2:$D174),CHAR(160),""))=TRIM(SUBSTITUTE(UPPER(D174),CHAR(160),"")))*
       (TRIM(SUBSTITUTE(UPPER($E$2:$E174),CHAR(160),""))=TRIM(SUBSTITUTE(UPPER(E174),CHAR(160),"")))
     )
  ),
  0
)</f>
        <v>0</v>
      </c>
      <c r="I174" s="8" cm="1">
        <f t="array" ref="I174">IFERROR(
  IF(D174&lt;&gt;"Tiphaine",
     0,
     SUMPRODUCT(
       (TRIM(SUBSTITUTE(UPPER($B$2:$B174),CHAR(160),""))=TRIM(SUBSTITUTE(UPPER(B174),CHAR(160),"")))*
       (TRIM(SUBSTITUTE(UPPER($C$2:$C174),CHAR(160),""))=TRIM(SUBSTITUTE(UPPER(C174),CHAR(160),"")))*
       (TRIM(SUBSTITUTE(UPPER($D$2:$D174),CHAR(160),""))=TRIM(SUBSTITUTE(UPPER(D174),CHAR(160),"")))*
       (TRIM(SUBSTITUTE(UPPER($E$2:$E174),CHAR(160),""))=TRIM(SUBSTITUTE(UPPER(E174),CHAR(160),"")))
     )
  ),
  0
)</f>
        <v>0</v>
      </c>
      <c r="J174" s="8" cm="1">
        <f t="array" ref="J174">IFERROR(
  IF(D174&lt;&gt;"Catherine",
     0,
     SUMPRODUCT(
       (TRIM(SUBSTITUTE(UPPER($B$2:$B174),CHAR(160),""))=TRIM(SUBSTITUTE(UPPER(B174),CHAR(160),"")))*
       (TRIM(SUBSTITUTE(UPPER($C$2:$C174),CHAR(160),""))=TRIM(SUBSTITUTE(UPPER(C174),CHAR(160),"")))*
       (TRIM(SUBSTITUTE(UPPER($D$2:$D174),CHAR(160),""))=TRIM(SUBSTITUTE(UPPER(D174),CHAR(160),"")))*
       (TRIM(SUBSTITUTE(UPPER($E$2:$E174),CHAR(160),""))=TRIM(SUBSTITUTE(UPPER(E174),CHAR(160),"")))
     )
  ),
  0
)</f>
        <v>0</v>
      </c>
      <c r="K174" s="9">
        <f>IFERROR(
  IF(
    D174&lt;&gt;"Cédric",
    0,
    IF(
      C174="",
      IF(
        COUNTIFS($B$2:B174,B174,$E$2:E174,E174,$D$2:D174,D174)=1,
        INDEX([1]DB!$A:$A,MATCH($E174,[1]DB!$D:$D,0)),
        IF(
          COUNTIFS($B$2:B174,B174,$E$2:E174,E174,$D$2:D174,D174)=2,
          INDEX([1]DB!$B:$B,MATCH($E174,[1]DB!$D:$D,0)),
          INDEX([1]DB!$C:$C,MATCH($E174,[1]DB!$D:$D,0))
        )
      ),
      IF(
        COUNTIFS($C$2:C174,C174,$E$2:E174,E174,$D$2:D174,D174)=1,
        INDEX([1]DB!$A:$A,MATCH($E174,[1]DB!$D:$D,0)),
        IF(
          COUNTIFS($C$2:C174,C174,$E$2:E174,E174,$D$2:D174,D174)=2,
          INDEX([1]DB!$B:$B,MATCH($E174,[1]DB!$D:$D,0)),
          INDEX([1]DB!$C:$C,MATCH($E174,[1]DB!$D:$D,0))
        )
      )
    )
  ),
  0
)</f>
        <v>0</v>
      </c>
      <c r="L174" s="9">
        <f>IFERROR(
  IF(
    D174&lt;&gt;"Geoffroy",
    0,
    IF(
      C174="",
      IF(
        COUNTIFS($B$2:B174,B174,$E$2:E174,E174,$D$2:D174,D174)=1,
        INDEX([1]DB!$A:$A,MATCH($E174,[1]DB!$D:$D,0)),
        IF(
          COUNTIFS($B$2:B174,B174,$E$2:E174,E174,$D$2:D174,D174)=2,
          INDEX([1]DB!$B:$B,MATCH($E174,[1]DB!$D:$D,0)),
          INDEX([1]DB!$C:$C,MATCH($E174,[1]DB!$D:$D,0))
        )
      ),
      IF(
        COUNTIFS($C$2:C174,C174,$E$2:E174,E174,$D$2:D174,D174)=1,
        INDEX([1]DB!$A:$A,MATCH($E174,[1]DB!$D:$D,0)),
        IF(
          COUNTIFS($C$2:C174,C174,$E$2:E174,E174,$D$2:D174,D174)=2,
          INDEX([1]DB!$B:$B,MATCH($E174,[1]DB!$D:$D,0)),
          INDEX([1]DB!$C:$C,MATCH($E174,[1]DB!$D:$D,0))
        )
      )
    )
  ),
  0
)</f>
        <v>0</v>
      </c>
      <c r="M174" s="9">
        <f>IFERROR(
  IF(
    D174&lt;&gt;"Tiphaine",
    0,
    IF(
      C174="",
      IF(
        COUNTIFS($B$2:B174,B174,$E$2:E174,E174,$D$2:D174,D174)=1,
        INDEX([1]DB!$A:$A,MATCH($E174,[1]DB!$D:$D,0)),
        IF(
          COUNTIFS($B$2:B174,B174,$E$2:E174,E174,$D$2:D174,D174)=2,
          INDEX([1]DB!$B:$B,MATCH($E174,[1]DB!$D:$D,0)),
          INDEX([1]DB!$C:$C,MATCH($E174,[1]DB!$D:$D,0))
        )
      ),
      IF(
        COUNTIFS($C$2:C174,C174,$E$2:E174,E174,$D$2:D174,D174)=1,
        INDEX([1]DB!$A:$A,MATCH($E174,[1]DB!$D:$D,0)),
        IF(
          COUNTIFS($C$2:C174,C174,$E$2:E174,E174,$D$2:D174,D174)=2,
          INDEX([1]DB!$B:$B,MATCH($E174,[1]DB!$D:$D,0)),
          INDEX([1]DB!$C:$C,MATCH($E174,[1]DB!$D:$D,0))
        )
      )
    )
  ),
  0
)</f>
        <v>0</v>
      </c>
      <c r="N174" s="9">
        <f>IFERROR(
  IF(
    D174&lt;&gt;"Catherine",
    0,
    IF(
      C174="",
      IF(
        COUNTIFS($B$2:B174,B174,$E$2:E174,E174,$D$2:D174,D174)=1,
        INDEX([1]DB!$A:$A,MATCH($E174,[1]DB!$D:$D,0)),
        IF(
          COUNTIFS($B$2:B174,B174,$E$2:E174,E174,$D$2:D174,D174)=2,
          INDEX([1]DB!$B:$B,MATCH($E174,[1]DB!$D:$D,0)),
          INDEX([1]DB!$C:$C,MATCH($E174,[1]DB!$D:$D,0))
        )
      ),
      IF(
        COUNTIFS($C$2:C174,C174,$E$2:E174,E174,$D$2:D174,D174)=1,
        INDEX([1]DB!$A:$A,MATCH($E174,[1]DB!$D:$D,0)),
        IF(
          COUNTIFS($C$2:C174,C174,$E$2:E174,E174,$D$2:D174,D174)=2,
          INDEX([1]DB!$B:$B,MATCH($E174,[1]DB!$D:$D,0)),
          INDEX([1]DB!$C:$C,MATCH($E174,[1]DB!$D:$D,0))
        )
      )
    )
  ),
  0
)</f>
        <v>0</v>
      </c>
      <c r="O174" s="5" t="str">
        <f>IF(DAY(A174)&lt;=15,UPPER(LEFT(TEXT(A174,"mmmm"),1))&amp;RIGHT(TEXT(A174,"mmmm"),LEN(TEXT(A174,"mmmm"))-1),UPPER(LEFT(TEXT(DATE(YEAR(A174),MONTH(A174)+1,1),"mmmm"),1))&amp;RIGHT(TEXT(DATE(YEAR(A174),MONTH(A174)+1,1),"mmmm"),LEN(TEXT(DATE(YEAR(A174),MONTH(A174)+1,1),"mmmm"))-1))</f>
        <v>Janvier</v>
      </c>
      <c r="P174" s="6" t="str">
        <f ca="1">IF(AND(A174&lt;=TODAY(),F174&lt;&gt;""),"OK","NON")</f>
        <v>NON</v>
      </c>
    </row>
    <row r="175" spans="1:16">
      <c r="A175" s="4"/>
      <c r="B175" s="5"/>
      <c r="C175" s="5"/>
      <c r="D175" s="6"/>
      <c r="E175" s="6"/>
      <c r="F175" s="7"/>
      <c r="G175" s="8" cm="1">
        <f t="array" ref="G175">IFERROR(
  IF(D175&lt;&gt;"Cédric",
     0,
     SUMPRODUCT(
       (TRIM(SUBSTITUTE(UPPER($B$2:$B175),CHAR(160),""))=TRIM(SUBSTITUTE(UPPER(B175),CHAR(160),"")))*
       (TRIM(SUBSTITUTE(UPPER($C$2:$C175),CHAR(160),""))=TRIM(SUBSTITUTE(UPPER(C175),CHAR(160),"")))*
       (TRIM(SUBSTITUTE(UPPER($D$2:$D175),CHAR(160),""))=TRIM(SUBSTITUTE(UPPER(D175),CHAR(160),"")))*
       (TRIM(SUBSTITUTE(UPPER($E$2:$E175),CHAR(160),""))=TRIM(SUBSTITUTE(UPPER(E175),CHAR(160),"")))
     )
  ),
  0
)</f>
        <v>0</v>
      </c>
      <c r="H175" s="8" cm="1">
        <f t="array" ref="H175">IFERROR(
  IF(D175&lt;&gt;"Geoffroy",
     0,
     SUMPRODUCT(
       (TRIM(SUBSTITUTE(UPPER($B$2:$B175),CHAR(160),""))=TRIM(SUBSTITUTE(UPPER(B175),CHAR(160),"")))*
       (TRIM(SUBSTITUTE(UPPER($C$2:$C175),CHAR(160),""))=TRIM(SUBSTITUTE(UPPER(C175),CHAR(160),"")))*
       (TRIM(SUBSTITUTE(UPPER($D$2:$D175),CHAR(160),""))=TRIM(SUBSTITUTE(UPPER(D175),CHAR(160),"")))*
       (TRIM(SUBSTITUTE(UPPER($E$2:$E175),CHAR(160),""))=TRIM(SUBSTITUTE(UPPER(E175),CHAR(160),"")))
     )
  ),
  0
)</f>
        <v>0</v>
      </c>
      <c r="I175" s="8" cm="1">
        <f t="array" ref="I175">IFERROR(
  IF(D175&lt;&gt;"Tiphaine",
     0,
     SUMPRODUCT(
       (TRIM(SUBSTITUTE(UPPER($B$2:$B175),CHAR(160),""))=TRIM(SUBSTITUTE(UPPER(B175),CHAR(160),"")))*
       (TRIM(SUBSTITUTE(UPPER($C$2:$C175),CHAR(160),""))=TRIM(SUBSTITUTE(UPPER(C175),CHAR(160),"")))*
       (TRIM(SUBSTITUTE(UPPER($D$2:$D175),CHAR(160),""))=TRIM(SUBSTITUTE(UPPER(D175),CHAR(160),"")))*
       (TRIM(SUBSTITUTE(UPPER($E$2:$E175),CHAR(160),""))=TRIM(SUBSTITUTE(UPPER(E175),CHAR(160),"")))
     )
  ),
  0
)</f>
        <v>0</v>
      </c>
      <c r="J175" s="8" cm="1">
        <f t="array" ref="J175">IFERROR(
  IF(D175&lt;&gt;"Catherine",
     0,
     SUMPRODUCT(
       (TRIM(SUBSTITUTE(UPPER($B$2:$B175),CHAR(160),""))=TRIM(SUBSTITUTE(UPPER(B175),CHAR(160),"")))*
       (TRIM(SUBSTITUTE(UPPER($C$2:$C175),CHAR(160),""))=TRIM(SUBSTITUTE(UPPER(C175),CHAR(160),"")))*
       (TRIM(SUBSTITUTE(UPPER($D$2:$D175),CHAR(160),""))=TRIM(SUBSTITUTE(UPPER(D175),CHAR(160),"")))*
       (TRIM(SUBSTITUTE(UPPER($E$2:$E175),CHAR(160),""))=TRIM(SUBSTITUTE(UPPER(E175),CHAR(160),"")))
     )
  ),
  0
)</f>
        <v>0</v>
      </c>
      <c r="K175" s="9">
        <f>IFERROR(
  IF(
    D175&lt;&gt;"Cédric",
    0,
    IF(
      C175="",
      IF(
        COUNTIFS($B$2:B175,B175,$E$2:E175,E175,$D$2:D175,D175)=1,
        INDEX([1]DB!$A:$A,MATCH($E175,[1]DB!$D:$D,0)),
        IF(
          COUNTIFS($B$2:B175,B175,$E$2:E175,E175,$D$2:D175,D175)=2,
          INDEX([1]DB!$B:$B,MATCH($E175,[1]DB!$D:$D,0)),
          INDEX([1]DB!$C:$C,MATCH($E175,[1]DB!$D:$D,0))
        )
      ),
      IF(
        COUNTIFS($C$2:C175,C175,$E$2:E175,E175,$D$2:D175,D175)=1,
        INDEX([1]DB!$A:$A,MATCH($E175,[1]DB!$D:$D,0)),
        IF(
          COUNTIFS($C$2:C175,C175,$E$2:E175,E175,$D$2:D175,D175)=2,
          INDEX([1]DB!$B:$B,MATCH($E175,[1]DB!$D:$D,0)),
          INDEX([1]DB!$C:$C,MATCH($E175,[1]DB!$D:$D,0))
        )
      )
    )
  ),
  0
)</f>
        <v>0</v>
      </c>
      <c r="L175" s="9">
        <f>IFERROR(
  IF(
    D175&lt;&gt;"Geoffroy",
    0,
    IF(
      C175="",
      IF(
        COUNTIFS($B$2:B175,B175,$E$2:E175,E175,$D$2:D175,D175)=1,
        INDEX([1]DB!$A:$A,MATCH($E175,[1]DB!$D:$D,0)),
        IF(
          COUNTIFS($B$2:B175,B175,$E$2:E175,E175,$D$2:D175,D175)=2,
          INDEX([1]DB!$B:$B,MATCH($E175,[1]DB!$D:$D,0)),
          INDEX([1]DB!$C:$C,MATCH($E175,[1]DB!$D:$D,0))
        )
      ),
      IF(
        COUNTIFS($C$2:C175,C175,$E$2:E175,E175,$D$2:D175,D175)=1,
        INDEX([1]DB!$A:$A,MATCH($E175,[1]DB!$D:$D,0)),
        IF(
          COUNTIFS($C$2:C175,C175,$E$2:E175,E175,$D$2:D175,D175)=2,
          INDEX([1]DB!$B:$B,MATCH($E175,[1]DB!$D:$D,0)),
          INDEX([1]DB!$C:$C,MATCH($E175,[1]DB!$D:$D,0))
        )
      )
    )
  ),
  0
)</f>
        <v>0</v>
      </c>
      <c r="M175" s="9">
        <f>IFERROR(
  IF(
    D175&lt;&gt;"Tiphaine",
    0,
    IF(
      C175="",
      IF(
        COUNTIFS($B$2:B175,B175,$E$2:E175,E175,$D$2:D175,D175)=1,
        INDEX([1]DB!$A:$A,MATCH($E175,[1]DB!$D:$D,0)),
        IF(
          COUNTIFS($B$2:B175,B175,$E$2:E175,E175,$D$2:D175,D175)=2,
          INDEX([1]DB!$B:$B,MATCH($E175,[1]DB!$D:$D,0)),
          INDEX([1]DB!$C:$C,MATCH($E175,[1]DB!$D:$D,0))
        )
      ),
      IF(
        COUNTIFS($C$2:C175,C175,$E$2:E175,E175,$D$2:D175,D175)=1,
        INDEX([1]DB!$A:$A,MATCH($E175,[1]DB!$D:$D,0)),
        IF(
          COUNTIFS($C$2:C175,C175,$E$2:E175,E175,$D$2:D175,D175)=2,
          INDEX([1]DB!$B:$B,MATCH($E175,[1]DB!$D:$D,0)),
          INDEX([1]DB!$C:$C,MATCH($E175,[1]DB!$D:$D,0))
        )
      )
    )
  ),
  0
)</f>
        <v>0</v>
      </c>
      <c r="N175" s="9">
        <f>IFERROR(
  IF(
    D175&lt;&gt;"Catherine",
    0,
    IF(
      C175="",
      IF(
        COUNTIFS($B$2:B175,B175,$E$2:E175,E175,$D$2:D175,D175)=1,
        INDEX([1]DB!$A:$A,MATCH($E175,[1]DB!$D:$D,0)),
        IF(
          COUNTIFS($B$2:B175,B175,$E$2:E175,E175,$D$2:D175,D175)=2,
          INDEX([1]DB!$B:$B,MATCH($E175,[1]DB!$D:$D,0)),
          INDEX([1]DB!$C:$C,MATCH($E175,[1]DB!$D:$D,0))
        )
      ),
      IF(
        COUNTIFS($C$2:C175,C175,$E$2:E175,E175,$D$2:D175,D175)=1,
        INDEX([1]DB!$A:$A,MATCH($E175,[1]DB!$D:$D,0)),
        IF(
          COUNTIFS($C$2:C175,C175,$E$2:E175,E175,$D$2:D175,D175)=2,
          INDEX([1]DB!$B:$B,MATCH($E175,[1]DB!$D:$D,0)),
          INDEX([1]DB!$C:$C,MATCH($E175,[1]DB!$D:$D,0))
        )
      )
    )
  ),
  0
)</f>
        <v>0</v>
      </c>
      <c r="O175" s="5" t="str">
        <f>IF(DAY(A175)&lt;=15,UPPER(LEFT(TEXT(A175,"mmmm"),1))&amp;RIGHT(TEXT(A175,"mmmm"),LEN(TEXT(A175,"mmmm"))-1),UPPER(LEFT(TEXT(DATE(YEAR(A175),MONTH(A175)+1,1),"mmmm"),1))&amp;RIGHT(TEXT(DATE(YEAR(A175),MONTH(A175)+1,1),"mmmm"),LEN(TEXT(DATE(YEAR(A175),MONTH(A175)+1,1),"mmmm"))-1))</f>
        <v>Janvier</v>
      </c>
      <c r="P175" s="6" t="str">
        <f ca="1">IF(AND(A175&lt;=TODAY(),F175&lt;&gt;""),"OK","NON")</f>
        <v>NON</v>
      </c>
    </row>
  </sheetData>
  <conditionalFormatting sqref="E2:F1087">
    <cfRule type="containsText" dxfId="10" priority="4" operator="containsText" text="RD Conférence">
      <formula>NOT(ISERROR(SEARCH("RD Conférence",E2)))</formula>
    </cfRule>
    <cfRule type="containsText" dxfId="9" priority="5" operator="containsText" text="RD Repas">
      <formula>NOT(ISERROR(SEARCH("RD Repas",E2)))</formula>
    </cfRule>
    <cfRule type="containsText" dxfId="8" priority="6" operator="containsText" text="RD Évènementiel">
      <formula>NOT(ISERROR(SEARCH("RD Évènementiel",E2)))</formula>
    </cfRule>
    <cfRule type="containsText" dxfId="7" priority="7" operator="containsText" text="Mise En Place">
      <formula>NOT(ISERROR(SEARCH("Mise En Place",E2)))</formula>
    </cfRule>
    <cfRule type="containsText" dxfId="6" priority="8" operator="containsText" text="RD Loisirs">
      <formula>NOT(ISERROR(SEARCH("RD Loisirs",E2)))</formula>
    </cfRule>
    <cfRule type="containsText" dxfId="5" priority="9" operator="containsText" text="RD Distanciel">
      <formula>NOT(ISERROR(SEARCH("RD Distanciel",E2)))</formula>
    </cfRule>
    <cfRule type="containsText" dxfId="4" priority="10" operator="containsText" text="RD Présentiel">
      <formula>NOT(ISERROR(SEARCH("RD Présentiel",E2)))</formula>
    </cfRule>
    <cfRule type="containsText" dxfId="3" priority="11" operator="containsText" text="Club Affaires">
      <formula>NOT(ISERROR(SEARCH("Club Affaires",E2)))</formula>
    </cfRule>
  </conditionalFormatting>
  <conditionalFormatting sqref="G2:J175">
    <cfRule type="cellIs" dxfId="2" priority="1" operator="greaterThan">
      <formula>1</formula>
    </cfRule>
    <cfRule type="cellIs" dxfId="1" priority="2" operator="equal">
      <formula>1</formula>
    </cfRule>
    <cfRule type="cellIs" dxfId="0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malzat</dc:creator>
  <cp:lastModifiedBy>Cédric MALZAT</cp:lastModifiedBy>
  <dcterms:created xsi:type="dcterms:W3CDTF">2015-06-05T18:17:20Z</dcterms:created>
  <dcterms:modified xsi:type="dcterms:W3CDTF">2026-03-15T16:23:50Z</dcterms:modified>
</cp:coreProperties>
</file>